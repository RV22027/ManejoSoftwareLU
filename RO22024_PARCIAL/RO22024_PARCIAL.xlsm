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"/>
    </mc:Choice>
  </mc:AlternateContent>
  <xr:revisionPtr revIDLastSave="0" documentId="13_ncr:1_{BB75B9D2-38E8-43E8-8A41-68237AC0DE5B}" xr6:coauthVersionLast="47" xr6:coauthVersionMax="47" xr10:uidLastSave="{00000000-0000-0000-0000-000000000000}"/>
  <bookViews>
    <workbookView xWindow="-120" yWindow="-120" windowWidth="20730" windowHeight="1104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definedNames>
    <definedName name="bono">'E5'!$F$6:$F$27</definedName>
    <definedName name="CAMTIDAD">'E3'!$B$2:$B$15</definedName>
    <definedName name="Cantida">'E3'!$B$3:$B$15</definedName>
    <definedName name="precio">'E3'!$C$3:$C$15</definedName>
    <definedName name="PRECIOS">'E3'!$C$2:$C$15</definedName>
    <definedName name="salario">'E5'!$E$6:$E$27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" l="1"/>
  <c r="E9" i="2"/>
  <c r="E8" i="2"/>
  <c r="E7" i="2"/>
  <c r="E6" i="2"/>
  <c r="E5" i="2"/>
  <c r="E4" i="2"/>
  <c r="E3" i="2"/>
  <c r="E2" i="2"/>
  <c r="E1" i="2"/>
  <c r="A2" i="2"/>
  <c r="A3" i="2"/>
  <c r="A4" i="2"/>
  <c r="A5" i="2"/>
  <c r="A6" i="2"/>
  <c r="A7" i="2"/>
  <c r="A8" i="2"/>
  <c r="A9" i="2"/>
  <c r="A10" i="2"/>
  <c r="A1" i="2"/>
  <c r="C10" i="1"/>
  <c r="D10" i="1"/>
  <c r="E10" i="1"/>
  <c r="F10" i="1"/>
  <c r="G10" i="1"/>
  <c r="H10" i="1"/>
  <c r="I10" i="1"/>
  <c r="J10" i="1"/>
  <c r="K10" i="1"/>
  <c r="C9" i="1"/>
  <c r="D9" i="1"/>
  <c r="E9" i="1"/>
  <c r="F9" i="1"/>
  <c r="G9" i="1"/>
  <c r="H9" i="1"/>
  <c r="I9" i="1"/>
  <c r="J9" i="1"/>
  <c r="K9" i="1"/>
  <c r="C8" i="1"/>
  <c r="D8" i="1"/>
  <c r="E8" i="1"/>
  <c r="F8" i="1"/>
  <c r="G8" i="1"/>
  <c r="H8" i="1"/>
  <c r="I8" i="1"/>
  <c r="J8" i="1"/>
  <c r="K8" i="1"/>
  <c r="C7" i="1"/>
  <c r="D7" i="1"/>
  <c r="E7" i="1"/>
  <c r="F7" i="1"/>
  <c r="G7" i="1"/>
  <c r="H7" i="1"/>
  <c r="I7" i="1"/>
  <c r="J7" i="1"/>
  <c r="K7" i="1"/>
  <c r="C6" i="1"/>
  <c r="D6" i="1"/>
  <c r="E6" i="1"/>
  <c r="F6" i="1"/>
  <c r="G6" i="1"/>
  <c r="H6" i="1"/>
  <c r="I6" i="1"/>
  <c r="J6" i="1"/>
  <c r="K6" i="1"/>
  <c r="C5" i="1"/>
  <c r="D5" i="1"/>
  <c r="E5" i="1"/>
  <c r="F5" i="1"/>
  <c r="G5" i="1"/>
  <c r="H5" i="1"/>
  <c r="I5" i="1"/>
  <c r="J5" i="1"/>
  <c r="K5" i="1"/>
  <c r="C4" i="1"/>
  <c r="D4" i="1"/>
  <c r="E4" i="1"/>
  <c r="F4" i="1"/>
  <c r="G4" i="1"/>
  <c r="H4" i="1"/>
  <c r="I4" i="1"/>
  <c r="J4" i="1"/>
  <c r="K4" i="1"/>
  <c r="C3" i="1"/>
  <c r="D3" i="1"/>
  <c r="E3" i="1"/>
  <c r="F3" i="1"/>
  <c r="G3" i="1"/>
  <c r="H3" i="1"/>
  <c r="I3" i="1"/>
  <c r="J3" i="1"/>
  <c r="K3" i="1"/>
  <c r="C2" i="1"/>
  <c r="D2" i="1"/>
  <c r="E2" i="1"/>
  <c r="F2" i="1"/>
  <c r="G2" i="1"/>
  <c r="H2" i="1"/>
  <c r="I2" i="1"/>
  <c r="J2" i="1"/>
  <c r="K2" i="1"/>
  <c r="D11" i="1"/>
  <c r="E11" i="1"/>
  <c r="F11" i="1"/>
  <c r="G11" i="1"/>
  <c r="H11" i="1"/>
  <c r="I11" i="1"/>
  <c r="J11" i="1"/>
  <c r="K11" i="1"/>
  <c r="C11" i="1"/>
  <c r="B11" i="1"/>
  <c r="B10" i="1"/>
  <c r="B9" i="1"/>
  <c r="B8" i="1"/>
  <c r="B7" i="1"/>
  <c r="B6" i="1"/>
  <c r="B5" i="1"/>
  <c r="B4" i="1"/>
  <c r="B3" i="1"/>
  <c r="B2" i="1"/>
  <c r="E17" i="3"/>
  <c r="E3" i="3" a="1"/>
  <c r="E3" i="3" s="1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7" i="5"/>
  <c r="G8" i="5"/>
  <c r="G6" i="5"/>
  <c r="J4" i="5"/>
  <c r="D17" i="3"/>
  <c r="C17" i="3"/>
  <c r="B17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P1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<sst xmlns="http://schemas.openxmlformats.org/spreadsheetml/2006/main" count="141" uniqueCount="110">
  <si>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</si>
  <si>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</si>
  <si>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</si>
  <si>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</si>
  <si>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</si>
  <si>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</si>
  <si>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</si>
  <si>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</si>
  <si>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</si>
  <si>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</si>
  <si>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</si>
  <si>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</si>
  <si>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</si>
  <si>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</si>
  <si>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</si>
  <si>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</si>
  <si>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</si>
  <si>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</si>
  <si>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</si>
  <si>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</si>
  <si>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</si>
  <si>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</si>
  <si>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</si>
  <si>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</si>
  <si>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</si>
  <si>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</si>
  <si>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</si>
  <si>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</si>
  <si>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</si>
  <si>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</si>
  <si>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</si>
  <si>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</si>
  <si>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</si>
  <si>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</si>
  <si>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</si>
  <si>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</si>
  <si>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</si>
  <si>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</si>
  <si>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</si>
  <si>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</si>
  <si>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</si>
  <si>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Contoso</t>
  </si>
  <si>
    <t>Evaluación de desempeño de los empleados</t>
  </si>
  <si>
    <t>Apellido</t>
  </si>
  <si>
    <t>Nombre</t>
  </si>
  <si>
    <t>Puesto de trabajo</t>
  </si>
  <si>
    <t>ID Empleado</t>
  </si>
  <si>
    <t>Salario</t>
  </si>
  <si>
    <t>Bono</t>
  </si>
  <si>
    <t>Sueldo total</t>
  </si>
  <si>
    <t>Barnhill</t>
  </si>
  <si>
    <t>Josh</t>
  </si>
  <si>
    <t>Encargado de Cuentas por Cobrar</t>
  </si>
  <si>
    <t>Benítez</t>
  </si>
  <si>
    <t>Estefanía</t>
  </si>
  <si>
    <t>Médico</t>
  </si>
  <si>
    <t xml:space="preserve">Blythe </t>
  </si>
  <si>
    <t>Michael</t>
  </si>
  <si>
    <t>Castro</t>
  </si>
  <si>
    <t>Alicia</t>
  </si>
  <si>
    <t>Director de Administración de Registros</t>
  </si>
  <si>
    <t>Da Silva</t>
  </si>
  <si>
    <t>Sergio</t>
  </si>
  <si>
    <t>Asociado Médico</t>
  </si>
  <si>
    <t>Delaney</t>
  </si>
  <si>
    <t>Adán</t>
  </si>
  <si>
    <t>Recepcionista</t>
  </si>
  <si>
    <t>Dellamore</t>
  </si>
  <si>
    <t>Luca</t>
  </si>
  <si>
    <t>Auxiliar Médico</t>
  </si>
  <si>
    <t>Domínguez</t>
  </si>
  <si>
    <t>Patricia</t>
  </si>
  <si>
    <t>Eaton</t>
  </si>
  <si>
    <t>Susana W.</t>
  </si>
  <si>
    <t>Esteves</t>
  </si>
  <si>
    <t>Janeth</t>
  </si>
  <si>
    <t xml:space="preserve">Giest </t>
  </si>
  <si>
    <t>Jim</t>
  </si>
  <si>
    <t>Gerente de Oficina</t>
  </si>
  <si>
    <t>Hagens</t>
  </si>
  <si>
    <t>Erik</t>
  </si>
  <si>
    <t>Hamilton</t>
  </si>
  <si>
    <t>David</t>
  </si>
  <si>
    <t xml:space="preserve">Hensien </t>
  </si>
  <si>
    <t>Kari</t>
  </si>
  <si>
    <t>Administración de Registros</t>
  </si>
  <si>
    <t>Holliday</t>
  </si>
  <si>
    <t>Nicole</t>
  </si>
  <si>
    <t>Hortas</t>
  </si>
  <si>
    <t>Horacio</t>
  </si>
  <si>
    <t>Kane</t>
  </si>
  <si>
    <t>John</t>
  </si>
  <si>
    <t>Enfermera Titulada</t>
  </si>
  <si>
    <t>Kennedy</t>
  </si>
  <si>
    <t>Kevin</t>
  </si>
  <si>
    <t>Lozano</t>
  </si>
  <si>
    <t>Rebeca</t>
  </si>
  <si>
    <t>Martínez</t>
  </si>
  <si>
    <t>Carlo José</t>
  </si>
  <si>
    <t>Metters</t>
  </si>
  <si>
    <t>Susana</t>
  </si>
  <si>
    <t>Moore</t>
  </si>
  <si>
    <t>Bobby</t>
  </si>
  <si>
    <t>Romero</t>
  </si>
  <si>
    <t>Ochoa</t>
  </si>
  <si>
    <t>Santos</t>
  </si>
  <si>
    <t>Josue</t>
  </si>
  <si>
    <t>contar personas que se quedaron sin bono</t>
  </si>
  <si>
    <t>contar es para contar cuantos empleados se quedaron sin bono</t>
  </si>
  <si>
    <t>sueldo total realizara la suma del bono y el salario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</si>
</sst>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  <numFmt numFmtId="170" formatCode="_-[$$-440A]* #,##0.00_-;\-[$$-440A]* #,##0.00_-;_-[$$-440A]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b/>
      <sz val="11"/>
      <color theme="4"/>
      <name val="Abadi"/>
      <family val="2"/>
    </font>
    <font>
      <b/>
      <sz val="12"/>
      <color rgb="FFFF0000"/>
      <name val="Amasis MT Pro Medium"/>
      <family val="1"/>
    </font>
    <font>
      <b/>
      <u/>
      <sz val="10"/>
      <color theme="1"/>
      <name val="Algerian"/>
      <family val="5"/>
    </font>
    <font>
      <b/>
      <i/>
      <sz val="12"/>
      <color rgb="FF00B0F0"/>
      <name val="Aharoni"/>
      <charset val="177"/>
    </font>
    <font>
      <sz val="15"/>
      <color theme="3"/>
      <name val="Calibri"/>
      <family val="2"/>
    </font>
    <font>
      <sz val="13"/>
      <color theme="3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2F2F2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7" borderId="25" applyNumberFormat="0" applyAlignment="0" applyProtection="0"/>
    <xf numFmtId="0" fontId="9" fillId="0" borderId="22" applyNumberFormat="0" applyFill="0" applyAlignment="0" applyProtection="0"/>
    <xf numFmtId="0" fontId="10" fillId="0" borderId="23" applyNumberFormat="0" applyFill="0" applyAlignment="0" applyProtection="0"/>
    <xf numFmtId="0" fontId="11" fillId="0" borderId="24" applyNumberFormat="0" applyFill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0" borderId="12" xfId="0" applyBorder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5" xfId="0" applyFont="1" applyFill="1" applyBorder="1"/>
    <xf numFmtId="49" fontId="2" fillId="3" borderId="16" xfId="0" applyNumberFormat="1" applyFont="1" applyFill="1" applyBorder="1"/>
    <xf numFmtId="165" fontId="0" fillId="3" borderId="16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4" fillId="0" borderId="1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4" borderId="17" xfId="0" applyFont="1" applyFill="1" applyBorder="1" applyAlignment="1">
      <alignment horizontal="left" vertical="center"/>
    </xf>
    <xf numFmtId="0" fontId="4" fillId="4" borderId="18" xfId="0" applyFont="1" applyFill="1" applyBorder="1" applyAlignment="1">
      <alignment horizontal="center" vertical="center"/>
    </xf>
    <xf numFmtId="165" fontId="4" fillId="4" borderId="19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165" fontId="6" fillId="0" borderId="3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20" xfId="0" applyBorder="1" applyAlignment="1">
      <alignment horizontal="center"/>
    </xf>
    <xf numFmtId="0" fontId="0" fillId="0" borderId="20" xfId="0" applyBorder="1"/>
    <xf numFmtId="0" fontId="0" fillId="0" borderId="21" xfId="0" applyBorder="1"/>
    <xf numFmtId="0" fontId="0" fillId="0" borderId="0" xfId="0" applyAlignment="1">
      <alignment horizontal="left" indent="1"/>
    </xf>
    <xf numFmtId="0" fontId="2" fillId="8" borderId="2" xfId="0" applyFont="1" applyFill="1" applyBorder="1" applyAlignment="1">
      <alignment horizontal="center"/>
    </xf>
    <xf numFmtId="1" fontId="2" fillId="8" borderId="14" xfId="1" applyNumberFormat="1" applyFont="1" applyFill="1" applyBorder="1" applyAlignment="1">
      <alignment horizontal="center"/>
    </xf>
    <xf numFmtId="1" fontId="2" fillId="8" borderId="3" xfId="1" applyNumberFormat="1" applyFont="1" applyFill="1" applyBorder="1" applyAlignment="1">
      <alignment horizontal="center"/>
    </xf>
    <xf numFmtId="1" fontId="2" fillId="8" borderId="4" xfId="1" applyNumberFormat="1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8" borderId="10" xfId="0" applyFont="1" applyFill="1" applyBorder="1" applyAlignment="1">
      <alignment horizontal="center"/>
    </xf>
    <xf numFmtId="1" fontId="2" fillId="10" borderId="1" xfId="3" applyNumberFormat="1" applyFont="1" applyFill="1" applyBorder="1"/>
    <xf numFmtId="0" fontId="2" fillId="10" borderId="1" xfId="3" applyFont="1" applyFill="1" applyBorder="1" applyAlignment="1">
      <alignment horizontal="center"/>
    </xf>
    <xf numFmtId="49" fontId="2" fillId="10" borderId="1" xfId="3" applyNumberFormat="1" applyFont="1" applyFill="1" applyBorder="1" applyAlignment="1">
      <alignment horizontal="center"/>
    </xf>
    <xf numFmtId="1" fontId="2" fillId="11" borderId="1" xfId="3" applyNumberFormat="1" applyFont="1" applyFill="1" applyBorder="1"/>
    <xf numFmtId="0" fontId="2" fillId="11" borderId="1" xfId="3" applyFont="1" applyFill="1" applyBorder="1" applyAlignment="1">
      <alignment horizontal="center"/>
    </xf>
    <xf numFmtId="49" fontId="2" fillId="11" borderId="1" xfId="3" applyNumberFormat="1" applyFont="1" applyFill="1" applyBorder="1" applyAlignment="1">
      <alignment horizontal="center"/>
    </xf>
    <xf numFmtId="0" fontId="3" fillId="13" borderId="26" xfId="0" applyFont="1" applyFill="1" applyBorder="1" applyAlignment="1">
      <alignment horizontal="center" vertical="center" wrapText="1"/>
    </xf>
    <xf numFmtId="44" fontId="4" fillId="6" borderId="13" xfId="2" applyFont="1" applyFill="1" applyBorder="1" applyAlignment="1">
      <alignment horizontal="center" vertical="center"/>
    </xf>
    <xf numFmtId="44" fontId="4" fillId="6" borderId="1" xfId="2" applyFont="1" applyFill="1" applyBorder="1" applyAlignment="1">
      <alignment horizontal="center" vertical="center"/>
    </xf>
    <xf numFmtId="44" fontId="4" fillId="6" borderId="6" xfId="2" applyFont="1" applyFill="1" applyBorder="1" applyAlignment="1">
      <alignment horizontal="center" vertical="center"/>
    </xf>
    <xf numFmtId="170" fontId="4" fillId="6" borderId="13" xfId="0" applyNumberFormat="1" applyFont="1" applyFill="1" applyBorder="1" applyAlignment="1">
      <alignment horizontal="center" vertical="center"/>
    </xf>
    <xf numFmtId="170" fontId="4" fillId="6" borderId="1" xfId="0" applyNumberFormat="1" applyFont="1" applyFill="1" applyBorder="1" applyAlignment="1">
      <alignment horizontal="center" vertical="center"/>
    </xf>
    <xf numFmtId="170" fontId="4" fillId="6" borderId="6" xfId="0" applyNumberFormat="1" applyFont="1" applyFill="1" applyBorder="1" applyAlignment="1">
      <alignment horizontal="center" vertical="center"/>
    </xf>
    <xf numFmtId="44" fontId="0" fillId="9" borderId="4" xfId="2" applyFont="1" applyFill="1" applyBorder="1"/>
    <xf numFmtId="0" fontId="12" fillId="0" borderId="1" xfId="0" applyFont="1" applyBorder="1"/>
    <xf numFmtId="0" fontId="13" fillId="0" borderId="1" xfId="0" applyFont="1" applyBorder="1"/>
    <xf numFmtId="0" fontId="14" fillId="0" borderId="1" xfId="0" applyFont="1" applyBorder="1"/>
    <xf numFmtId="0" fontId="15" fillId="0" borderId="1" xfId="0" applyFont="1" applyBorder="1"/>
    <xf numFmtId="0" fontId="11" fillId="0" borderId="0" xfId="6" applyBorder="1" applyAlignment="1">
      <alignment horizontal="center" vertical="center"/>
    </xf>
    <xf numFmtId="0" fontId="11" fillId="0" borderId="0" xfId="6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14" borderId="1" xfId="4" applyFill="1" applyBorder="1" applyAlignment="1">
      <alignment horizontal="center"/>
    </xf>
    <xf numFmtId="0" fontId="10" fillId="14" borderId="1" xfId="5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15" borderId="1" xfId="6" applyFont="1" applyFill="1" applyBorder="1" applyAlignment="1">
      <alignment horizontal="center" vertical="center"/>
    </xf>
    <xf numFmtId="0" fontId="8" fillId="15" borderId="1" xfId="6" applyFont="1" applyFill="1" applyBorder="1" applyAlignment="1">
      <alignment horizontal="center" vertical="center" wrapText="1"/>
    </xf>
    <xf numFmtId="0" fontId="0" fillId="15" borderId="1" xfId="0" applyFont="1" applyFill="1" applyBorder="1"/>
    <xf numFmtId="0" fontId="0" fillId="15" borderId="1" xfId="0" applyFont="1" applyFill="1" applyBorder="1" applyAlignment="1">
      <alignment horizontal="center"/>
    </xf>
    <xf numFmtId="0" fontId="8" fillId="15" borderId="1" xfId="0" applyFont="1" applyFill="1" applyBorder="1"/>
    <xf numFmtId="0" fontId="0" fillId="12" borderId="1" xfId="0" applyFill="1" applyBorder="1" applyAlignment="1">
      <alignment horizontal="center"/>
    </xf>
    <xf numFmtId="0" fontId="16" fillId="0" borderId="0" xfId="4" applyFont="1" applyBorder="1" applyAlignment="1">
      <alignment horizontal="center"/>
    </xf>
    <xf numFmtId="0" fontId="17" fillId="0" borderId="0" xfId="5" applyFont="1" applyBorder="1" applyAlignment="1">
      <alignment horizontal="center"/>
    </xf>
  </cellXfs>
  <cellStyles count="7">
    <cellStyle name="Cálculo" xfId="3" builtinId="22"/>
    <cellStyle name="Encabezado 1 2" xfId="4" xr:uid="{B479AB11-5756-463C-A890-A0E833E5AA66}"/>
    <cellStyle name="Millares" xfId="1" builtinId="3"/>
    <cellStyle name="Moneda" xfId="2" builtinId="4"/>
    <cellStyle name="Normal" xfId="0" builtinId="0"/>
    <cellStyle name="Título 2 2" xfId="5" xr:uid="{677D5600-B453-4F71-B82E-7AB30649E453}"/>
    <cellStyle name="Título 3 2" xfId="6" xr:uid="{AC5A324C-C6D1-4B64-9AB4-9F50F6E136D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438150</xdr:colOff>
      <xdr:row>2</xdr:row>
      <xdr:rowOff>95250</xdr:rowOff>
    </xdr:from>
    <xdr:to>
      <xdr:col>14</xdr:col>
      <xdr:colOff>190500</xdr:colOff>
      <xdr:row>5</xdr:row>
      <xdr:rowOff>47625</xdr:rowOff>
    </xdr:to>
    <xdr:sp macro="[0]!TABLA" textlink="">
      <xdr:nvSpPr>
        <xdr:cNvPr id="2" name="Rectángulo 1">
          <a:extLst>
            <a:ext uri="{FF2B5EF4-FFF2-40B4-BE49-F238E27FC236}">
              <a16:creationId xmlns:a16="http://schemas.microsoft.com/office/drawing/2014/main" id="{5C28084F-0093-F601-80F9-400F1C19613B}"/>
            </a:ext>
          </a:extLst>
        </xdr:cNvPr>
        <xdr:cNvSpPr/>
      </xdr:nvSpPr>
      <xdr:spPr>
        <a:xfrm>
          <a:off x="9610725" y="485775"/>
          <a:ext cx="1276350" cy="52387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 b="1"/>
            <a:t>tabla</a:t>
          </a:r>
          <a:r>
            <a:rPr lang="es-SV" sz="1600" b="1" baseline="0"/>
            <a:t> </a:t>
          </a:r>
          <a:endParaRPr lang="es-SV" sz="1600" b="1"/>
        </a:p>
      </xdr:txBody>
    </xdr:sp>
    <xdr:clientData/>
  </xdr:twoCellAnchor>
  <xdr:twoCellAnchor>
    <xdr:from>
      <xdr:col>12</xdr:col>
      <xdr:colOff>457200</xdr:colOff>
      <xdr:row>6</xdr:row>
      <xdr:rowOff>95250</xdr:rowOff>
    </xdr:from>
    <xdr:to>
      <xdr:col>14</xdr:col>
      <xdr:colOff>209550</xdr:colOff>
      <xdr:row>9</xdr:row>
      <xdr:rowOff>47625</xdr:rowOff>
    </xdr:to>
    <xdr:sp macro="[0]!Formato" textlink="">
      <xdr:nvSpPr>
        <xdr:cNvPr id="3" name="Rectángulo 2">
          <a:extLst>
            <a:ext uri="{FF2B5EF4-FFF2-40B4-BE49-F238E27FC236}">
              <a16:creationId xmlns:a16="http://schemas.microsoft.com/office/drawing/2014/main" id="{53EC294F-1B9A-4803-875C-A2D76E0F0DAE}"/>
            </a:ext>
          </a:extLst>
        </xdr:cNvPr>
        <xdr:cNvSpPr/>
      </xdr:nvSpPr>
      <xdr:spPr>
        <a:xfrm>
          <a:off x="9629775" y="1247775"/>
          <a:ext cx="1276350" cy="52387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 b="1"/>
            <a:t>formato </a:t>
          </a:r>
        </a:p>
      </xdr:txBody>
    </xdr:sp>
    <xdr:clientData/>
  </xdr:twoCellAnchor>
  <xdr:twoCellAnchor>
    <xdr:from>
      <xdr:col>14</xdr:col>
      <xdr:colOff>257175</xdr:colOff>
      <xdr:row>2</xdr:row>
      <xdr:rowOff>114300</xdr:rowOff>
    </xdr:from>
    <xdr:to>
      <xdr:col>16</xdr:col>
      <xdr:colOff>9525</xdr:colOff>
      <xdr:row>5</xdr:row>
      <xdr:rowOff>66675</xdr:rowOff>
    </xdr:to>
    <xdr:sp macro="[0]!Resfrescar1" textlink="">
      <xdr:nvSpPr>
        <xdr:cNvPr id="4" name="Rectángulo 3">
          <a:extLst>
            <a:ext uri="{FF2B5EF4-FFF2-40B4-BE49-F238E27FC236}">
              <a16:creationId xmlns:a16="http://schemas.microsoft.com/office/drawing/2014/main" id="{6493E806-3651-49F8-BFEE-7488BD7002AB}"/>
            </a:ext>
          </a:extLst>
        </xdr:cNvPr>
        <xdr:cNvSpPr/>
      </xdr:nvSpPr>
      <xdr:spPr>
        <a:xfrm>
          <a:off x="10953750" y="504825"/>
          <a:ext cx="1276350" cy="52387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 b="1"/>
            <a:t>refrescar</a:t>
          </a:r>
          <a:r>
            <a:rPr lang="es-SV" sz="1100" baseline="0"/>
            <a:t> </a:t>
          </a:r>
          <a:endParaRPr lang="es-SV" sz="1100"/>
        </a:p>
      </xdr:txBody>
    </xdr:sp>
    <xdr:clientData/>
  </xdr:twoCellAnchor>
  <xdr:twoCellAnchor>
    <xdr:from>
      <xdr:col>14</xdr:col>
      <xdr:colOff>485775</xdr:colOff>
      <xdr:row>6</xdr:row>
      <xdr:rowOff>47625</xdr:rowOff>
    </xdr:from>
    <xdr:to>
      <xdr:col>16</xdr:col>
      <xdr:colOff>238125</xdr:colOff>
      <xdr:row>9</xdr:row>
      <xdr:rowOff>0</xdr:rowOff>
    </xdr:to>
    <xdr:sp macro="[0]!resfrescar2" textlink="">
      <xdr:nvSpPr>
        <xdr:cNvPr id="5" name="Rectángulo 4">
          <a:extLst>
            <a:ext uri="{FF2B5EF4-FFF2-40B4-BE49-F238E27FC236}">
              <a16:creationId xmlns:a16="http://schemas.microsoft.com/office/drawing/2014/main" id="{E8B9AD79-8C07-4F15-A2A4-A9A4E41F7D04}"/>
            </a:ext>
          </a:extLst>
        </xdr:cNvPr>
        <xdr:cNvSpPr/>
      </xdr:nvSpPr>
      <xdr:spPr>
        <a:xfrm>
          <a:off x="11182350" y="1200150"/>
          <a:ext cx="1276350" cy="52387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 b="1"/>
            <a:t>Resfrecar</a:t>
          </a:r>
          <a:r>
            <a:rPr lang="es-SV" sz="1600" b="1" baseline="0"/>
            <a:t> F</a:t>
          </a:r>
          <a:endParaRPr lang="es-SV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609600</xdr:colOff>
      <xdr:row>3</xdr:row>
      <xdr:rowOff>47625</xdr:rowOff>
    </xdr:from>
    <xdr:to>
      <xdr:col>9</xdr:col>
      <xdr:colOff>66675</xdr:colOff>
      <xdr:row>5</xdr:row>
      <xdr:rowOff>171450</xdr:rowOff>
    </xdr:to>
    <xdr:sp macro="[0]!TABLA2" textlink="">
      <xdr:nvSpPr>
        <xdr:cNvPr id="2" name="Flecha: cheurón 1">
          <a:extLst>
            <a:ext uri="{FF2B5EF4-FFF2-40B4-BE49-F238E27FC236}">
              <a16:creationId xmlns:a16="http://schemas.microsoft.com/office/drawing/2014/main" id="{C048B6D0-03B9-BD21-998C-28B6C8F85250}"/>
            </a:ext>
          </a:extLst>
        </xdr:cNvPr>
        <xdr:cNvSpPr/>
      </xdr:nvSpPr>
      <xdr:spPr>
        <a:xfrm>
          <a:off x="2905125" y="647700"/>
          <a:ext cx="1743075" cy="523875"/>
        </a:xfrm>
        <a:prstGeom prst="chevron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 b="1">
              <a:solidFill>
                <a:schemeClr val="tx1"/>
              </a:solidFill>
            </a:rPr>
            <a:t>TABLA</a:t>
          </a:r>
        </a:p>
      </xdr:txBody>
    </xdr:sp>
    <xdr:clientData/>
  </xdr:twoCellAnchor>
  <xdr:twoCellAnchor>
    <xdr:from>
      <xdr:col>6</xdr:col>
      <xdr:colOff>619125</xdr:colOff>
      <xdr:row>6</xdr:row>
      <xdr:rowOff>152400</xdr:rowOff>
    </xdr:from>
    <xdr:to>
      <xdr:col>9</xdr:col>
      <xdr:colOff>76200</xdr:colOff>
      <xdr:row>9</xdr:row>
      <xdr:rowOff>76200</xdr:rowOff>
    </xdr:to>
    <xdr:sp macro="[0]!FORMATO_COL" textlink="">
      <xdr:nvSpPr>
        <xdr:cNvPr id="3" name="Flecha: cheurón 2">
          <a:extLst>
            <a:ext uri="{FF2B5EF4-FFF2-40B4-BE49-F238E27FC236}">
              <a16:creationId xmlns:a16="http://schemas.microsoft.com/office/drawing/2014/main" id="{673D01F0-DC06-44EC-ACE5-F87D048AD0C2}"/>
            </a:ext>
          </a:extLst>
        </xdr:cNvPr>
        <xdr:cNvSpPr/>
      </xdr:nvSpPr>
      <xdr:spPr>
        <a:xfrm>
          <a:off x="2914650" y="1352550"/>
          <a:ext cx="1743075" cy="523875"/>
        </a:xfrm>
        <a:prstGeom prst="chevron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600" b="1">
              <a:solidFill>
                <a:schemeClr val="tx1"/>
              </a:solidFill>
            </a:rPr>
            <a:t>TABLA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9525</xdr:rowOff>
    </xdr:from>
    <xdr:to>
      <xdr:col>10</xdr:col>
      <xdr:colOff>19050</xdr:colOff>
      <xdr:row>2</xdr:row>
      <xdr:rowOff>85726</xdr:rowOff>
    </xdr:to>
    <xdr:sp macro="[0]!IVA_FORMAT" textlink="">
      <xdr:nvSpPr>
        <xdr:cNvPr id="2" name="Flecha: cheurón 1">
          <a:extLst>
            <a:ext uri="{FF2B5EF4-FFF2-40B4-BE49-F238E27FC236}">
              <a16:creationId xmlns:a16="http://schemas.microsoft.com/office/drawing/2014/main" id="{7574118F-BE1A-E070-576D-723FA9C19193}"/>
            </a:ext>
          </a:extLst>
        </xdr:cNvPr>
        <xdr:cNvSpPr/>
      </xdr:nvSpPr>
      <xdr:spPr>
        <a:xfrm>
          <a:off x="7239000" y="209550"/>
          <a:ext cx="3067050" cy="276226"/>
        </a:xfrm>
        <a:prstGeom prst="chevron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1600" b="1">
              <a:solidFill>
                <a:schemeClr val="tx1"/>
              </a:solidFill>
            </a:rPr>
            <a:t>IVA Y FORMATO DE TABLA </a:t>
          </a:r>
        </a:p>
      </xdr:txBody>
    </xdr:sp>
    <xdr:clientData/>
  </xdr:twoCellAnchor>
  <xdr:twoCellAnchor>
    <xdr:from>
      <xdr:col>6</xdr:col>
      <xdr:colOff>0</xdr:colOff>
      <xdr:row>2</xdr:row>
      <xdr:rowOff>200024</xdr:rowOff>
    </xdr:from>
    <xdr:to>
      <xdr:col>9</xdr:col>
      <xdr:colOff>742950</xdr:colOff>
      <xdr:row>4</xdr:row>
      <xdr:rowOff>152400</xdr:rowOff>
    </xdr:to>
    <xdr:sp macro="[0]!TOTAL_IVA" textlink="">
      <xdr:nvSpPr>
        <xdr:cNvPr id="3" name="Flecha: cheurón 2">
          <a:extLst>
            <a:ext uri="{FF2B5EF4-FFF2-40B4-BE49-F238E27FC236}">
              <a16:creationId xmlns:a16="http://schemas.microsoft.com/office/drawing/2014/main" id="{D7D2E9EB-F289-4E48-AB7C-B194C7B526CB}"/>
            </a:ext>
          </a:extLst>
        </xdr:cNvPr>
        <xdr:cNvSpPr/>
      </xdr:nvSpPr>
      <xdr:spPr>
        <a:xfrm>
          <a:off x="7239000" y="600074"/>
          <a:ext cx="3028950" cy="342901"/>
        </a:xfrm>
        <a:prstGeom prst="chevron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1600" b="1">
              <a:solidFill>
                <a:schemeClr val="tx1"/>
              </a:solidFill>
            </a:rPr>
            <a:t>TOTAL</a:t>
          </a:r>
          <a:r>
            <a:rPr lang="es-SV" sz="1600" b="1" baseline="0">
              <a:solidFill>
                <a:schemeClr val="tx1"/>
              </a:solidFill>
            </a:rPr>
            <a:t> IVA</a:t>
          </a:r>
          <a:r>
            <a:rPr lang="es-SV" sz="1600" b="1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5</xdr:col>
      <xdr:colOff>737907</xdr:colOff>
      <xdr:row>5</xdr:row>
      <xdr:rowOff>89646</xdr:rowOff>
    </xdr:from>
    <xdr:to>
      <xdr:col>9</xdr:col>
      <xdr:colOff>718857</xdr:colOff>
      <xdr:row>7</xdr:row>
      <xdr:rowOff>80122</xdr:rowOff>
    </xdr:to>
    <xdr:sp macro="[0]!Suma_iva" textlink="">
      <xdr:nvSpPr>
        <xdr:cNvPr id="4" name="Flecha: cheurón 3">
          <a:extLst>
            <a:ext uri="{FF2B5EF4-FFF2-40B4-BE49-F238E27FC236}">
              <a16:creationId xmlns:a16="http://schemas.microsoft.com/office/drawing/2014/main" id="{9C426DFF-0D6B-40DA-AF1F-DE9FA3A7EDED}"/>
            </a:ext>
          </a:extLst>
        </xdr:cNvPr>
        <xdr:cNvSpPr/>
      </xdr:nvSpPr>
      <xdr:spPr>
        <a:xfrm>
          <a:off x="7203701" y="1075764"/>
          <a:ext cx="3028950" cy="371476"/>
        </a:xfrm>
        <a:prstGeom prst="chevron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1600" b="1">
              <a:solidFill>
                <a:schemeClr val="tx1"/>
              </a:solidFill>
            </a:rPr>
            <a:t>SUMAR</a:t>
          </a:r>
          <a:r>
            <a:rPr lang="es-SV" sz="1600" b="1" baseline="0">
              <a:solidFill>
                <a:schemeClr val="tx1"/>
              </a:solidFill>
            </a:rPr>
            <a:t> TOTAL IVA</a:t>
          </a:r>
          <a:endParaRPr lang="es-SV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22412</xdr:colOff>
      <xdr:row>7</xdr:row>
      <xdr:rowOff>156883</xdr:rowOff>
    </xdr:from>
    <xdr:to>
      <xdr:col>10</xdr:col>
      <xdr:colOff>3362</xdr:colOff>
      <xdr:row>9</xdr:row>
      <xdr:rowOff>147359</xdr:rowOff>
    </xdr:to>
    <xdr:sp macro="[0]!SUMA_BCD" textlink="">
      <xdr:nvSpPr>
        <xdr:cNvPr id="5" name="Flecha: cheurón 4">
          <a:extLst>
            <a:ext uri="{FF2B5EF4-FFF2-40B4-BE49-F238E27FC236}">
              <a16:creationId xmlns:a16="http://schemas.microsoft.com/office/drawing/2014/main" id="{2FC428A4-4D4F-4E5E-BEDF-A80930EE6FD3}"/>
            </a:ext>
          </a:extLst>
        </xdr:cNvPr>
        <xdr:cNvSpPr/>
      </xdr:nvSpPr>
      <xdr:spPr>
        <a:xfrm>
          <a:off x="7250206" y="1524001"/>
          <a:ext cx="3028950" cy="371476"/>
        </a:xfrm>
        <a:prstGeom prst="chevron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1600" b="1">
              <a:solidFill>
                <a:schemeClr val="tx1"/>
              </a:solidFill>
            </a:rPr>
            <a:t>SUMAR</a:t>
          </a:r>
          <a:r>
            <a:rPr lang="es-SV" sz="1600" b="1" baseline="0">
              <a:solidFill>
                <a:schemeClr val="tx1"/>
              </a:solidFill>
            </a:rPr>
            <a:t> BCD</a:t>
          </a:r>
          <a:endParaRPr lang="es-SV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22412</xdr:colOff>
      <xdr:row>10</xdr:row>
      <xdr:rowOff>89647</xdr:rowOff>
    </xdr:from>
    <xdr:to>
      <xdr:col>10</xdr:col>
      <xdr:colOff>3362</xdr:colOff>
      <xdr:row>12</xdr:row>
      <xdr:rowOff>80123</xdr:rowOff>
    </xdr:to>
    <xdr:sp macro="[0]!signo_dolar" textlink="">
      <xdr:nvSpPr>
        <xdr:cNvPr id="8" name="Flecha: cheurón 7">
          <a:extLst>
            <a:ext uri="{FF2B5EF4-FFF2-40B4-BE49-F238E27FC236}">
              <a16:creationId xmlns:a16="http://schemas.microsoft.com/office/drawing/2014/main" id="{3B28881B-87FE-46E9-90BA-28E2E399D6CE}"/>
            </a:ext>
          </a:extLst>
        </xdr:cNvPr>
        <xdr:cNvSpPr/>
      </xdr:nvSpPr>
      <xdr:spPr>
        <a:xfrm>
          <a:off x="7250206" y="2028265"/>
          <a:ext cx="3028950" cy="371476"/>
        </a:xfrm>
        <a:prstGeom prst="chevron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1600" b="1">
              <a:solidFill>
                <a:schemeClr val="tx1"/>
              </a:solidFill>
            </a:rPr>
            <a:t>SIGNOS</a:t>
          </a:r>
          <a:r>
            <a:rPr lang="es-SV" sz="1600" b="1" baseline="0">
              <a:solidFill>
                <a:schemeClr val="tx1"/>
              </a:solidFill>
            </a:rPr>
            <a:t> DEL DOLAR</a:t>
          </a:r>
          <a:endParaRPr lang="es-SV" sz="16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19050</xdr:rowOff>
    </xdr:from>
    <xdr:to>
      <xdr:col>6</xdr:col>
      <xdr:colOff>561975</xdr:colOff>
      <xdr:row>4</xdr:row>
      <xdr:rowOff>19050</xdr:rowOff>
    </xdr:to>
    <xdr:sp macro="[0]!TIPOS" textlink="">
      <xdr:nvSpPr>
        <xdr:cNvPr id="2" name="Explosión: 14 puntos 1">
          <a:extLst>
            <a:ext uri="{FF2B5EF4-FFF2-40B4-BE49-F238E27FC236}">
              <a16:creationId xmlns:a16="http://schemas.microsoft.com/office/drawing/2014/main" id="{77D4BBA7-92A5-10BD-F2C1-7526A4E81340}"/>
            </a:ext>
          </a:extLst>
        </xdr:cNvPr>
        <xdr:cNvSpPr/>
      </xdr:nvSpPr>
      <xdr:spPr>
        <a:xfrm>
          <a:off x="6172200" y="19050"/>
          <a:ext cx="1285875" cy="771525"/>
        </a:xfrm>
        <a:prstGeom prst="irregularSeal2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 b="1">
              <a:solidFill>
                <a:schemeClr val="tx1"/>
              </a:solidFill>
            </a:rPr>
            <a:t>macro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4</xdr:row>
      <xdr:rowOff>361950</xdr:rowOff>
    </xdr:from>
    <xdr:to>
      <xdr:col>13</xdr:col>
      <xdr:colOff>0</xdr:colOff>
      <xdr:row>7</xdr:row>
      <xdr:rowOff>47625</xdr:rowOff>
    </xdr:to>
    <xdr:sp macro="[0]!contar_blanco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B40110D0-0DF0-36D2-60C5-C89153E89A4F}"/>
            </a:ext>
          </a:extLst>
        </xdr:cNvPr>
        <xdr:cNvSpPr/>
      </xdr:nvSpPr>
      <xdr:spPr>
        <a:xfrm>
          <a:off x="8648700" y="1209675"/>
          <a:ext cx="1295400" cy="4476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 b="1">
              <a:solidFill>
                <a:schemeClr val="tx1"/>
              </a:solidFill>
            </a:rPr>
            <a:t>contar_blanco</a:t>
          </a:r>
        </a:p>
      </xdr:txBody>
    </xdr:sp>
    <xdr:clientData/>
  </xdr:twoCellAnchor>
  <xdr:twoCellAnchor>
    <xdr:from>
      <xdr:col>9</xdr:col>
      <xdr:colOff>285750</xdr:colOff>
      <xdr:row>4</xdr:row>
      <xdr:rowOff>342900</xdr:rowOff>
    </xdr:from>
    <xdr:to>
      <xdr:col>11</xdr:col>
      <xdr:colOff>152400</xdr:colOff>
      <xdr:row>7</xdr:row>
      <xdr:rowOff>47625</xdr:rowOff>
    </xdr:to>
    <xdr:sp macro="[0]!sueldo_total" textlink="">
      <xdr:nvSpPr>
        <xdr:cNvPr id="3" name="Flecha: a la derecha 2">
          <a:extLst>
            <a:ext uri="{FF2B5EF4-FFF2-40B4-BE49-F238E27FC236}">
              <a16:creationId xmlns:a16="http://schemas.microsoft.com/office/drawing/2014/main" id="{B2106002-9BC7-F481-E464-65725804A54D}"/>
            </a:ext>
          </a:extLst>
        </xdr:cNvPr>
        <xdr:cNvSpPr/>
      </xdr:nvSpPr>
      <xdr:spPr>
        <a:xfrm>
          <a:off x="7143750" y="1190625"/>
          <a:ext cx="1390650" cy="4667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SV" sz="1100" b="1">
              <a:solidFill>
                <a:schemeClr val="tx1"/>
              </a:solidFill>
            </a:rPr>
            <a:t>sueldo</a:t>
          </a:r>
          <a:r>
            <a:rPr lang="es-SV" sz="1100" b="1" baseline="0">
              <a:solidFill>
                <a:schemeClr val="tx1"/>
              </a:solidFill>
            </a:rPr>
            <a:t> total</a:t>
          </a:r>
          <a:r>
            <a:rPr lang="es-SV" sz="1100" b="1">
              <a:solidFill>
                <a:schemeClr val="tx1"/>
              </a:solidFill>
            </a:rPr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P14"/>
  <sheetViews>
    <sheetView workbookViewId="0">
      <selection activeCell="B10" sqref="B10:K10"/>
    </sheetView>
  </sheetViews>
  <sheetFormatPr baseColWidth="10" defaultRowHeight="15" x14ac:dyDescent="0.25"/>
  <cols>
    <col min="2" max="2" width="11.85546875" bestFit="1" customWidth="1"/>
  </cols>
  <sheetData>
    <row r="1" spans="1:16" ht="15.75" thickBot="1" x14ac:dyDescent="0.3">
      <c r="A1" s="31" t="s">
        <v>0</v>
      </c>
      <c r="B1" s="32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  <c r="J1" s="33">
        <v>9</v>
      </c>
      <c r="K1" s="34">
        <v>10</v>
      </c>
    </row>
    <row r="2" spans="1:16" x14ac:dyDescent="0.25">
      <c r="A2" s="35">
        <v>1</v>
      </c>
      <c r="B2" s="2">
        <f>$A$2*B1</f>
        <v>1</v>
      </c>
      <c r="C2" s="2">
        <f t="shared" ref="C2:K2" si="0">$A$2*C1</f>
        <v>2</v>
      </c>
      <c r="D2" s="2">
        <f t="shared" si="0"/>
        <v>3</v>
      </c>
      <c r="E2" s="2">
        <f t="shared" si="0"/>
        <v>4</v>
      </c>
      <c r="F2" s="2">
        <f t="shared" si="0"/>
        <v>5</v>
      </c>
      <c r="G2" s="2">
        <f t="shared" si="0"/>
        <v>6</v>
      </c>
      <c r="H2" s="2">
        <f t="shared" si="0"/>
        <v>7</v>
      </c>
      <c r="I2" s="2">
        <f t="shared" si="0"/>
        <v>8</v>
      </c>
      <c r="J2" s="2">
        <f t="shared" si="0"/>
        <v>9</v>
      </c>
      <c r="K2" s="2">
        <f t="shared" si="0"/>
        <v>10</v>
      </c>
    </row>
    <row r="3" spans="1:16" x14ac:dyDescent="0.25">
      <c r="A3" s="36">
        <v>2</v>
      </c>
      <c r="B3" s="2">
        <f>$A$3*B1</f>
        <v>2</v>
      </c>
      <c r="C3" s="2">
        <f t="shared" ref="C3:K3" si="1">$A$3*C1</f>
        <v>4</v>
      </c>
      <c r="D3" s="2">
        <f t="shared" si="1"/>
        <v>6</v>
      </c>
      <c r="E3" s="2">
        <f t="shared" si="1"/>
        <v>8</v>
      </c>
      <c r="F3" s="2">
        <f t="shared" si="1"/>
        <v>10</v>
      </c>
      <c r="G3" s="2">
        <f t="shared" si="1"/>
        <v>12</v>
      </c>
      <c r="H3" s="2">
        <f t="shared" si="1"/>
        <v>14</v>
      </c>
      <c r="I3" s="2">
        <f t="shared" si="1"/>
        <v>16</v>
      </c>
      <c r="J3" s="2">
        <f t="shared" si="1"/>
        <v>18</v>
      </c>
      <c r="K3" s="2">
        <f t="shared" si="1"/>
        <v>20</v>
      </c>
    </row>
    <row r="4" spans="1:16" x14ac:dyDescent="0.25">
      <c r="A4" s="36">
        <v>3</v>
      </c>
      <c r="B4" s="2">
        <f>$A$4*B1</f>
        <v>3</v>
      </c>
      <c r="C4" s="2">
        <f t="shared" ref="C4:K4" si="2">$A$4*C1</f>
        <v>6</v>
      </c>
      <c r="D4" s="2">
        <f t="shared" si="2"/>
        <v>9</v>
      </c>
      <c r="E4" s="2">
        <f t="shared" si="2"/>
        <v>12</v>
      </c>
      <c r="F4" s="2">
        <f t="shared" si="2"/>
        <v>15</v>
      </c>
      <c r="G4" s="2">
        <f t="shared" si="2"/>
        <v>18</v>
      </c>
      <c r="H4" s="2">
        <f t="shared" si="2"/>
        <v>21</v>
      </c>
      <c r="I4" s="2">
        <f t="shared" si="2"/>
        <v>24</v>
      </c>
      <c r="J4" s="2">
        <f t="shared" si="2"/>
        <v>27</v>
      </c>
      <c r="K4" s="2">
        <f t="shared" si="2"/>
        <v>30</v>
      </c>
    </row>
    <row r="5" spans="1:16" x14ac:dyDescent="0.25">
      <c r="A5" s="36">
        <v>4</v>
      </c>
      <c r="B5" s="2">
        <f>$A$5*B1</f>
        <v>4</v>
      </c>
      <c r="C5" s="2">
        <f t="shared" ref="C5:K5" si="3">$A$5*C1</f>
        <v>8</v>
      </c>
      <c r="D5" s="2">
        <f t="shared" si="3"/>
        <v>12</v>
      </c>
      <c r="E5" s="2">
        <f t="shared" si="3"/>
        <v>16</v>
      </c>
      <c r="F5" s="2">
        <f t="shared" si="3"/>
        <v>20</v>
      </c>
      <c r="G5" s="2">
        <f t="shared" si="3"/>
        <v>24</v>
      </c>
      <c r="H5" s="2">
        <f t="shared" si="3"/>
        <v>28</v>
      </c>
      <c r="I5" s="2">
        <f t="shared" si="3"/>
        <v>32</v>
      </c>
      <c r="J5" s="2">
        <f t="shared" si="3"/>
        <v>36</v>
      </c>
      <c r="K5" s="2">
        <f t="shared" si="3"/>
        <v>40</v>
      </c>
    </row>
    <row r="6" spans="1:16" x14ac:dyDescent="0.25">
      <c r="A6" s="36">
        <v>5</v>
      </c>
      <c r="B6" s="2">
        <f>$A$6*B1</f>
        <v>5</v>
      </c>
      <c r="C6" s="2">
        <f t="shared" ref="C6:K6" si="4">$A$6*C1</f>
        <v>10</v>
      </c>
      <c r="D6" s="2">
        <f t="shared" si="4"/>
        <v>15</v>
      </c>
      <c r="E6" s="2">
        <f t="shared" si="4"/>
        <v>20</v>
      </c>
      <c r="F6" s="2">
        <f t="shared" si="4"/>
        <v>25</v>
      </c>
      <c r="G6" s="2">
        <f t="shared" si="4"/>
        <v>30</v>
      </c>
      <c r="H6" s="2">
        <f t="shared" si="4"/>
        <v>35</v>
      </c>
      <c r="I6" s="2">
        <f t="shared" si="4"/>
        <v>40</v>
      </c>
      <c r="J6" s="2">
        <f t="shared" si="4"/>
        <v>45</v>
      </c>
      <c r="K6" s="2">
        <f t="shared" si="4"/>
        <v>50</v>
      </c>
    </row>
    <row r="7" spans="1:16" x14ac:dyDescent="0.25">
      <c r="A7" s="36">
        <v>6</v>
      </c>
      <c r="B7" s="2">
        <f>$A$7*B1</f>
        <v>6</v>
      </c>
      <c r="C7" s="2">
        <f t="shared" ref="C7:K7" si="5">$A$7*C1</f>
        <v>12</v>
      </c>
      <c r="D7" s="2">
        <f t="shared" si="5"/>
        <v>18</v>
      </c>
      <c r="E7" s="2">
        <f t="shared" si="5"/>
        <v>24</v>
      </c>
      <c r="F7" s="2">
        <f t="shared" si="5"/>
        <v>30</v>
      </c>
      <c r="G7" s="2">
        <f t="shared" si="5"/>
        <v>36</v>
      </c>
      <c r="H7" s="2">
        <f t="shared" si="5"/>
        <v>42</v>
      </c>
      <c r="I7" s="2">
        <f t="shared" si="5"/>
        <v>48</v>
      </c>
      <c r="J7" s="2">
        <f t="shared" si="5"/>
        <v>54</v>
      </c>
      <c r="K7" s="2">
        <f t="shared" si="5"/>
        <v>60</v>
      </c>
    </row>
    <row r="8" spans="1:16" x14ac:dyDescent="0.25">
      <c r="A8" s="36">
        <v>7</v>
      </c>
      <c r="B8" s="2">
        <f>$A$8*B1</f>
        <v>7</v>
      </c>
      <c r="C8" s="2">
        <f t="shared" ref="C8:K8" si="6">$A$8*C1</f>
        <v>14</v>
      </c>
      <c r="D8" s="2">
        <f t="shared" si="6"/>
        <v>21</v>
      </c>
      <c r="E8" s="2">
        <f t="shared" si="6"/>
        <v>28</v>
      </c>
      <c r="F8" s="2">
        <f t="shared" si="6"/>
        <v>35</v>
      </c>
      <c r="G8" s="2">
        <f t="shared" si="6"/>
        <v>42</v>
      </c>
      <c r="H8" s="2">
        <f t="shared" si="6"/>
        <v>49</v>
      </c>
      <c r="I8" s="2">
        <f t="shared" si="6"/>
        <v>56</v>
      </c>
      <c r="J8" s="2">
        <f t="shared" si="6"/>
        <v>63</v>
      </c>
      <c r="K8" s="2">
        <f t="shared" si="6"/>
        <v>70</v>
      </c>
    </row>
    <row r="9" spans="1:16" x14ac:dyDescent="0.25">
      <c r="A9" s="36">
        <v>8</v>
      </c>
      <c r="B9" s="2">
        <f>$A$9*B1</f>
        <v>8</v>
      </c>
      <c r="C9" s="2">
        <f t="shared" ref="C9:K9" si="7">$A$9*C1</f>
        <v>16</v>
      </c>
      <c r="D9" s="2">
        <f t="shared" si="7"/>
        <v>24</v>
      </c>
      <c r="E9" s="2">
        <f t="shared" si="7"/>
        <v>32</v>
      </c>
      <c r="F9" s="2">
        <f t="shared" si="7"/>
        <v>40</v>
      </c>
      <c r="G9" s="2">
        <f t="shared" si="7"/>
        <v>48</v>
      </c>
      <c r="H9" s="2">
        <f t="shared" si="7"/>
        <v>56</v>
      </c>
      <c r="I9" s="2">
        <f t="shared" si="7"/>
        <v>64</v>
      </c>
      <c r="J9" s="2">
        <f t="shared" si="7"/>
        <v>72</v>
      </c>
      <c r="K9" s="2">
        <f t="shared" si="7"/>
        <v>80</v>
      </c>
    </row>
    <row r="10" spans="1:16" x14ac:dyDescent="0.25">
      <c r="A10" s="36">
        <v>9</v>
      </c>
      <c r="B10" s="2">
        <f>$A$10*B1</f>
        <v>9</v>
      </c>
      <c r="C10" s="2">
        <f t="shared" ref="C10:K10" si="8">$A$10*C1</f>
        <v>18</v>
      </c>
      <c r="D10" s="2">
        <f t="shared" si="8"/>
        <v>27</v>
      </c>
      <c r="E10" s="2">
        <f t="shared" si="8"/>
        <v>36</v>
      </c>
      <c r="F10" s="2">
        <f t="shared" si="8"/>
        <v>45</v>
      </c>
      <c r="G10" s="2">
        <f t="shared" si="8"/>
        <v>54</v>
      </c>
      <c r="H10" s="2">
        <f t="shared" si="8"/>
        <v>63</v>
      </c>
      <c r="I10" s="2">
        <f t="shared" si="8"/>
        <v>72</v>
      </c>
      <c r="J10" s="2">
        <f t="shared" si="8"/>
        <v>81</v>
      </c>
      <c r="K10" s="2">
        <f t="shared" si="8"/>
        <v>90</v>
      </c>
      <c r="P10">
        <f>$A$2*P9</f>
        <v>0</v>
      </c>
    </row>
    <row r="11" spans="1:16" ht="15.75" thickBot="1" x14ac:dyDescent="0.3">
      <c r="A11" s="37">
        <v>10</v>
      </c>
      <c r="B11" s="2">
        <f>$A$11*B1</f>
        <v>10</v>
      </c>
      <c r="C11" s="2">
        <f>$A$11*C1</f>
        <v>20</v>
      </c>
      <c r="D11" s="2">
        <f t="shared" ref="D11:K11" si="9">$A$11*D1</f>
        <v>30</v>
      </c>
      <c r="E11" s="2">
        <f t="shared" si="9"/>
        <v>40</v>
      </c>
      <c r="F11" s="2">
        <f t="shared" si="9"/>
        <v>50</v>
      </c>
      <c r="G11" s="2">
        <f t="shared" si="9"/>
        <v>60</v>
      </c>
      <c r="H11" s="2">
        <f t="shared" si="9"/>
        <v>70</v>
      </c>
      <c r="I11" s="2">
        <f t="shared" si="9"/>
        <v>80</v>
      </c>
      <c r="J11" s="2">
        <f t="shared" si="9"/>
        <v>90</v>
      </c>
      <c r="K11" s="2">
        <f t="shared" si="9"/>
        <v>100</v>
      </c>
    </row>
    <row r="13" spans="1:16" x14ac:dyDescent="0.25">
      <c r="A13" s="30" t="s">
        <v>1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</row>
    <row r="14" spans="1:16" x14ac:dyDescent="0.25">
      <c r="A14" s="3" t="s">
        <v>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</sheetData>
  <mergeCells count="1">
    <mergeCell ref="A13:K1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2"/>
  <dimension ref="A1:E15"/>
  <sheetViews>
    <sheetView topLeftCell="A3" workbookViewId="0">
      <selection activeCell="E4" sqref="E4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5" customWidth="1"/>
  </cols>
  <sheetData>
    <row r="1" spans="1:5" x14ac:dyDescent="0.25">
      <c r="A1" s="38">
        <f>$E$12</f>
        <v>90</v>
      </c>
      <c r="B1" s="39" t="s">
        <v>3</v>
      </c>
      <c r="C1" s="39">
        <v>1</v>
      </c>
      <c r="D1" s="40" t="s">
        <v>5</v>
      </c>
      <c r="E1" s="38">
        <f>$A$1*C1</f>
        <v>90</v>
      </c>
    </row>
    <row r="2" spans="1:5" x14ac:dyDescent="0.25">
      <c r="A2" s="41">
        <f t="shared" ref="A2:A10" si="0">$E$12</f>
        <v>90</v>
      </c>
      <c r="B2" s="42" t="s">
        <v>3</v>
      </c>
      <c r="C2" s="42">
        <v>2</v>
      </c>
      <c r="D2" s="43" t="s">
        <v>5</v>
      </c>
      <c r="E2" s="41">
        <f>$A$2*C2</f>
        <v>180</v>
      </c>
    </row>
    <row r="3" spans="1:5" x14ac:dyDescent="0.25">
      <c r="A3" s="41">
        <f t="shared" si="0"/>
        <v>90</v>
      </c>
      <c r="B3" s="42" t="s">
        <v>3</v>
      </c>
      <c r="C3" s="42">
        <v>3</v>
      </c>
      <c r="D3" s="43" t="s">
        <v>5</v>
      </c>
      <c r="E3" s="41">
        <f>$A$3*C3</f>
        <v>270</v>
      </c>
    </row>
    <row r="4" spans="1:5" x14ac:dyDescent="0.25">
      <c r="A4" s="41">
        <f t="shared" si="0"/>
        <v>90</v>
      </c>
      <c r="B4" s="42" t="s">
        <v>3</v>
      </c>
      <c r="C4" s="42">
        <v>4</v>
      </c>
      <c r="D4" s="43" t="s">
        <v>5</v>
      </c>
      <c r="E4" s="41">
        <f>$A$4*C4</f>
        <v>360</v>
      </c>
    </row>
    <row r="5" spans="1:5" x14ac:dyDescent="0.25">
      <c r="A5" s="41">
        <f t="shared" si="0"/>
        <v>90</v>
      </c>
      <c r="B5" s="42" t="s">
        <v>3</v>
      </c>
      <c r="C5" s="42">
        <v>5</v>
      </c>
      <c r="D5" s="43" t="s">
        <v>5</v>
      </c>
      <c r="E5" s="41">
        <f>$A$5*C5</f>
        <v>450</v>
      </c>
    </row>
    <row r="6" spans="1:5" x14ac:dyDescent="0.25">
      <c r="A6" s="41">
        <f t="shared" si="0"/>
        <v>90</v>
      </c>
      <c r="B6" s="42" t="s">
        <v>3</v>
      </c>
      <c r="C6" s="42">
        <v>6</v>
      </c>
      <c r="D6" s="43" t="s">
        <v>5</v>
      </c>
      <c r="E6" s="41">
        <f>$A$6*C6</f>
        <v>540</v>
      </c>
    </row>
    <row r="7" spans="1:5" x14ac:dyDescent="0.25">
      <c r="A7" s="41">
        <f t="shared" si="0"/>
        <v>90</v>
      </c>
      <c r="B7" s="42" t="s">
        <v>3</v>
      </c>
      <c r="C7" s="42">
        <v>7</v>
      </c>
      <c r="D7" s="43" t="s">
        <v>5</v>
      </c>
      <c r="E7" s="41">
        <f>$A$7*C7</f>
        <v>630</v>
      </c>
    </row>
    <row r="8" spans="1:5" x14ac:dyDescent="0.25">
      <c r="A8" s="41">
        <f t="shared" si="0"/>
        <v>90</v>
      </c>
      <c r="B8" s="42" t="s">
        <v>3</v>
      </c>
      <c r="C8" s="42">
        <v>8</v>
      </c>
      <c r="D8" s="43" t="s">
        <v>5</v>
      </c>
      <c r="E8" s="41">
        <f>$A$8*C8</f>
        <v>720</v>
      </c>
    </row>
    <row r="9" spans="1:5" x14ac:dyDescent="0.25">
      <c r="A9" s="41">
        <f t="shared" si="0"/>
        <v>90</v>
      </c>
      <c r="B9" s="42" t="s">
        <v>3</v>
      </c>
      <c r="C9" s="42">
        <v>9</v>
      </c>
      <c r="D9" s="43" t="s">
        <v>5</v>
      </c>
      <c r="E9" s="41">
        <f>$A$9*C9</f>
        <v>810</v>
      </c>
    </row>
    <row r="10" spans="1:5" x14ac:dyDescent="0.25">
      <c r="A10" s="41">
        <f t="shared" si="0"/>
        <v>90</v>
      </c>
      <c r="B10" s="42" t="s">
        <v>3</v>
      </c>
      <c r="C10" s="42">
        <v>10</v>
      </c>
      <c r="D10" s="43" t="s">
        <v>5</v>
      </c>
      <c r="E10" s="41">
        <f>$A$10*C10</f>
        <v>900</v>
      </c>
    </row>
    <row r="11" spans="1:5" ht="15.75" thickBot="1" x14ac:dyDescent="0.3">
      <c r="D11" s="4"/>
    </row>
    <row r="12" spans="1:5" ht="15.75" thickBot="1" x14ac:dyDescent="0.3">
      <c r="D12" s="7" t="s">
        <v>4</v>
      </c>
      <c r="E12" s="6">
        <v>90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3"/>
  <dimension ref="A1:E25"/>
  <sheetViews>
    <sheetView zoomScale="85" zoomScaleNormal="85" workbookViewId="0">
      <selection activeCell="E18" sqref="E18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8" t="s">
        <v>8</v>
      </c>
      <c r="B1" s="9" t="s">
        <v>27</v>
      </c>
      <c r="C1" s="10"/>
      <c r="D1" s="10"/>
      <c r="E1" s="10"/>
    </row>
    <row r="2" spans="1:5" ht="15.75" thickBot="1" x14ac:dyDescent="0.3">
      <c r="A2" s="20" t="s">
        <v>9</v>
      </c>
      <c r="B2" s="21" t="s">
        <v>10</v>
      </c>
      <c r="C2" s="22" t="s">
        <v>11</v>
      </c>
      <c r="D2" s="22" t="s">
        <v>12</v>
      </c>
      <c r="E2" s="22" t="s">
        <v>29</v>
      </c>
    </row>
    <row r="3" spans="1:5" ht="15.75" thickTop="1" x14ac:dyDescent="0.25">
      <c r="A3" s="11" t="s">
        <v>13</v>
      </c>
      <c r="B3" s="16">
        <v>500</v>
      </c>
      <c r="C3" s="45">
        <v>0.15</v>
      </c>
      <c r="D3" s="48">
        <f t="shared" ref="D3:D15" si="0">B3*C3</f>
        <v>75</v>
      </c>
      <c r="E3" s="48" cm="1">
        <f t="array" ref="E3:E15">Cantida*precio*B19</f>
        <v>9.75</v>
      </c>
    </row>
    <row r="4" spans="1:5" x14ac:dyDescent="0.25">
      <c r="A4" s="12" t="s">
        <v>14</v>
      </c>
      <c r="B4" s="17">
        <v>2347</v>
      </c>
      <c r="C4" s="46">
        <v>1.8</v>
      </c>
      <c r="D4" s="49">
        <f t="shared" si="0"/>
        <v>4224.6000000000004</v>
      </c>
      <c r="E4" s="49">
        <v>549.19800000000009</v>
      </c>
    </row>
    <row r="5" spans="1:5" x14ac:dyDescent="0.25">
      <c r="A5" s="12" t="s">
        <v>15</v>
      </c>
      <c r="B5" s="17">
        <v>260</v>
      </c>
      <c r="C5" s="46">
        <v>1.9</v>
      </c>
      <c r="D5" s="49">
        <f t="shared" si="0"/>
        <v>494</v>
      </c>
      <c r="E5" s="49">
        <v>64.22</v>
      </c>
    </row>
    <row r="6" spans="1:5" x14ac:dyDescent="0.25">
      <c r="A6" s="12" t="s">
        <v>16</v>
      </c>
      <c r="B6" s="17">
        <v>230</v>
      </c>
      <c r="C6" s="46">
        <v>1.7</v>
      </c>
      <c r="D6" s="49">
        <f t="shared" si="0"/>
        <v>391</v>
      </c>
      <c r="E6" s="49">
        <v>50.83</v>
      </c>
    </row>
    <row r="7" spans="1:5" x14ac:dyDescent="0.25">
      <c r="A7" s="12" t="s">
        <v>17</v>
      </c>
      <c r="B7" s="17">
        <v>700</v>
      </c>
      <c r="C7" s="46">
        <v>6</v>
      </c>
      <c r="D7" s="49">
        <f t="shared" si="0"/>
        <v>4200</v>
      </c>
      <c r="E7" s="49">
        <v>546</v>
      </c>
    </row>
    <row r="8" spans="1:5" x14ac:dyDescent="0.25">
      <c r="A8" s="12" t="s">
        <v>18</v>
      </c>
      <c r="B8" s="17">
        <v>3500</v>
      </c>
      <c r="C8" s="46">
        <v>0.2</v>
      </c>
      <c r="D8" s="49">
        <f t="shared" si="0"/>
        <v>700</v>
      </c>
      <c r="E8" s="49">
        <v>91</v>
      </c>
    </row>
    <row r="9" spans="1:5" x14ac:dyDescent="0.25">
      <c r="A9" s="12" t="s">
        <v>19</v>
      </c>
      <c r="B9" s="17">
        <v>7000</v>
      </c>
      <c r="C9" s="46">
        <v>0.1</v>
      </c>
      <c r="D9" s="49">
        <f t="shared" si="0"/>
        <v>700</v>
      </c>
      <c r="E9" s="49">
        <v>91</v>
      </c>
    </row>
    <row r="10" spans="1:5" x14ac:dyDescent="0.25">
      <c r="A10" s="12" t="s">
        <v>20</v>
      </c>
      <c r="B10" s="18">
        <v>750</v>
      </c>
      <c r="C10" s="46">
        <v>1.7</v>
      </c>
      <c r="D10" s="49">
        <f t="shared" si="0"/>
        <v>1275</v>
      </c>
      <c r="E10" s="49">
        <v>165.75</v>
      </c>
    </row>
    <row r="11" spans="1:5" x14ac:dyDescent="0.25">
      <c r="A11" s="12" t="s">
        <v>21</v>
      </c>
      <c r="B11" s="17">
        <v>980</v>
      </c>
      <c r="C11" s="46">
        <v>3</v>
      </c>
      <c r="D11" s="49">
        <f t="shared" si="0"/>
        <v>2940</v>
      </c>
      <c r="E11" s="49">
        <v>382.2</v>
      </c>
    </row>
    <row r="12" spans="1:5" x14ac:dyDescent="0.25">
      <c r="A12" s="12" t="s">
        <v>22</v>
      </c>
      <c r="B12" s="17">
        <v>752</v>
      </c>
      <c r="C12" s="46">
        <v>3</v>
      </c>
      <c r="D12" s="49">
        <f t="shared" si="0"/>
        <v>2256</v>
      </c>
      <c r="E12" s="49">
        <v>293.28000000000003</v>
      </c>
    </row>
    <row r="13" spans="1:5" x14ac:dyDescent="0.25">
      <c r="A13" s="12" t="s">
        <v>23</v>
      </c>
      <c r="B13" s="17">
        <v>7080</v>
      </c>
      <c r="C13" s="46">
        <v>2</v>
      </c>
      <c r="D13" s="49">
        <f t="shared" si="0"/>
        <v>14160</v>
      </c>
      <c r="E13" s="49">
        <v>1840.8</v>
      </c>
    </row>
    <row r="14" spans="1:5" x14ac:dyDescent="0.25">
      <c r="A14" s="12" t="s">
        <v>24</v>
      </c>
      <c r="B14" s="17">
        <v>6320</v>
      </c>
      <c r="C14" s="46">
        <v>0.4</v>
      </c>
      <c r="D14" s="49">
        <f t="shared" si="0"/>
        <v>2528</v>
      </c>
      <c r="E14" s="49">
        <v>328.64</v>
      </c>
    </row>
    <row r="15" spans="1:5" ht="15.75" thickBot="1" x14ac:dyDescent="0.3">
      <c r="A15" s="13" t="s">
        <v>25</v>
      </c>
      <c r="B15" s="19">
        <v>789</v>
      </c>
      <c r="C15" s="47">
        <v>0.45</v>
      </c>
      <c r="D15" s="50">
        <f t="shared" si="0"/>
        <v>355.05</v>
      </c>
      <c r="E15" s="50">
        <v>46.156500000000001</v>
      </c>
    </row>
    <row r="16" spans="1:5" ht="15.75" thickBot="1" x14ac:dyDescent="0.3">
      <c r="C16" s="14"/>
      <c r="D16" s="14"/>
    </row>
    <row r="17" spans="1:5" ht="15.75" thickBot="1" x14ac:dyDescent="0.3">
      <c r="A17" s="15" t="s">
        <v>26</v>
      </c>
      <c r="B17" s="23">
        <f>SUM(Cantida)</f>
        <v>31208</v>
      </c>
      <c r="C17" s="24">
        <f>SUM(precio)</f>
        <v>22.399999999999995</v>
      </c>
      <c r="D17" s="25">
        <f>SUM(D3:D15)</f>
        <v>34298.65</v>
      </c>
      <c r="E17" s="25">
        <f>SUM(_xlfn.ANCHORARRAY(E3))</f>
        <v>4458.8245000000006</v>
      </c>
    </row>
    <row r="18" spans="1:5" ht="15.75" thickBot="1" x14ac:dyDescent="0.3"/>
    <row r="19" spans="1:5" ht="15.75" thickBot="1" x14ac:dyDescent="0.3">
      <c r="A19" s="44" t="s">
        <v>28</v>
      </c>
      <c r="B19" s="51">
        <v>0.13</v>
      </c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Hoja4"/>
  <dimension ref="A1:D5"/>
  <sheetViews>
    <sheetView workbookViewId="0">
      <selection activeCell="C2" sqref="C2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26" t="s">
        <v>36</v>
      </c>
      <c r="B1" s="27" t="s">
        <v>35</v>
      </c>
      <c r="C1" s="28" t="s">
        <v>37</v>
      </c>
      <c r="D1" s="29" t="s">
        <v>38</v>
      </c>
    </row>
    <row r="2" spans="1:4" ht="15.75" x14ac:dyDescent="0.25">
      <c r="A2" s="52" t="s">
        <v>105</v>
      </c>
      <c r="B2" s="55" t="s">
        <v>106</v>
      </c>
      <c r="C2" s="54" t="s">
        <v>103</v>
      </c>
      <c r="D2" s="53" t="s">
        <v>104</v>
      </c>
    </row>
    <row r="5" spans="1:4" x14ac:dyDescent="0.25">
      <c r="A5" t="s">
        <v>39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Hoja5"/>
  <dimension ref="A1:P41"/>
  <sheetViews>
    <sheetView tabSelected="1" workbookViewId="0">
      <selection activeCell="J12" sqref="J12"/>
    </sheetView>
  </sheetViews>
  <sheetFormatPr baseColWidth="10" defaultRowHeight="15" x14ac:dyDescent="0.25"/>
  <cols>
    <col min="11" max="11" width="11.42578125" customWidth="1"/>
    <col min="12" max="12" width="10.42578125" customWidth="1"/>
    <col min="13" max="13" width="13" customWidth="1"/>
  </cols>
  <sheetData>
    <row r="1" spans="1:16" x14ac:dyDescent="0.25">
      <c r="A1" t="s">
        <v>40</v>
      </c>
    </row>
    <row r="3" spans="1:16" ht="19.5" x14ac:dyDescent="0.3">
      <c r="A3" s="60" t="s">
        <v>41</v>
      </c>
      <c r="B3" s="60"/>
      <c r="C3" s="60"/>
      <c r="D3" s="60"/>
      <c r="E3" s="60"/>
      <c r="F3" s="60"/>
      <c r="G3" s="60"/>
      <c r="J3" s="68" t="s">
        <v>107</v>
      </c>
      <c r="K3" s="68"/>
      <c r="L3" s="68"/>
      <c r="M3" s="68"/>
    </row>
    <row r="4" spans="1:16" ht="17.25" x14ac:dyDescent="0.3">
      <c r="A4" s="61" t="s">
        <v>42</v>
      </c>
      <c r="B4" s="61"/>
      <c r="C4" s="61"/>
      <c r="D4" s="61"/>
      <c r="E4" s="61"/>
      <c r="F4" s="61"/>
      <c r="G4" s="61"/>
      <c r="J4" s="62">
        <f>COUNTBLANK(F6:F27)</f>
        <v>4</v>
      </c>
      <c r="K4" s="62"/>
      <c r="L4" s="62"/>
      <c r="M4" s="62"/>
    </row>
    <row r="5" spans="1:16" ht="30" x14ac:dyDescent="0.25">
      <c r="A5" s="63" t="s">
        <v>43</v>
      </c>
      <c r="B5" s="63" t="s">
        <v>44</v>
      </c>
      <c r="C5" s="63" t="s">
        <v>45</v>
      </c>
      <c r="D5" s="63" t="s">
        <v>46</v>
      </c>
      <c r="E5" s="63" t="s">
        <v>47</v>
      </c>
      <c r="F5" s="63" t="s">
        <v>48</v>
      </c>
      <c r="G5" s="64" t="s">
        <v>49</v>
      </c>
    </row>
    <row r="6" spans="1:16" x14ac:dyDescent="0.25">
      <c r="A6" s="65" t="s">
        <v>50</v>
      </c>
      <c r="B6" s="65" t="s">
        <v>51</v>
      </c>
      <c r="C6" s="65" t="s">
        <v>52</v>
      </c>
      <c r="D6" s="66">
        <v>61498</v>
      </c>
      <c r="E6" s="65">
        <v>300</v>
      </c>
      <c r="F6" s="65">
        <v>80</v>
      </c>
      <c r="G6" s="65">
        <f>SUM(E6:F6)</f>
        <v>380</v>
      </c>
    </row>
    <row r="7" spans="1:16" x14ac:dyDescent="0.25">
      <c r="A7" s="65" t="s">
        <v>53</v>
      </c>
      <c r="B7" s="65" t="s">
        <v>54</v>
      </c>
      <c r="C7" s="65" t="s">
        <v>55</v>
      </c>
      <c r="D7" s="66">
        <v>50432</v>
      </c>
      <c r="E7" s="65">
        <v>1000</v>
      </c>
      <c r="F7" s="65">
        <v>200</v>
      </c>
      <c r="G7" s="65">
        <f t="shared" ref="G7:G27" si="0">SUM(E7:F7)</f>
        <v>1200</v>
      </c>
    </row>
    <row r="8" spans="1:16" x14ac:dyDescent="0.25">
      <c r="A8" s="65" t="s">
        <v>56</v>
      </c>
      <c r="B8" s="65" t="s">
        <v>57</v>
      </c>
      <c r="C8" s="65" t="s">
        <v>55</v>
      </c>
      <c r="D8" s="66">
        <v>42268</v>
      </c>
      <c r="E8" s="65">
        <v>1000</v>
      </c>
      <c r="F8" s="65">
        <v>200</v>
      </c>
      <c r="G8" s="65">
        <f t="shared" si="0"/>
        <v>1200</v>
      </c>
    </row>
    <row r="9" spans="1:16" ht="19.5" x14ac:dyDescent="0.3">
      <c r="A9" s="65" t="s">
        <v>58</v>
      </c>
      <c r="B9" s="65" t="s">
        <v>59</v>
      </c>
      <c r="C9" s="65" t="s">
        <v>60</v>
      </c>
      <c r="D9" s="66">
        <v>12928</v>
      </c>
      <c r="E9" s="65">
        <v>1000</v>
      </c>
      <c r="F9" s="65">
        <v>50</v>
      </c>
      <c r="G9" s="65">
        <f t="shared" si="0"/>
        <v>1050</v>
      </c>
      <c r="J9" s="69" t="s">
        <v>108</v>
      </c>
      <c r="K9" s="69"/>
      <c r="L9" s="69"/>
      <c r="M9" s="69"/>
      <c r="N9" s="69"/>
      <c r="O9" s="69"/>
      <c r="P9" s="69"/>
    </row>
    <row r="10" spans="1:16" ht="17.25" x14ac:dyDescent="0.3">
      <c r="A10" s="65" t="s">
        <v>61</v>
      </c>
      <c r="B10" s="65" t="s">
        <v>62</v>
      </c>
      <c r="C10" s="65" t="s">
        <v>63</v>
      </c>
      <c r="D10" s="66">
        <v>48353</v>
      </c>
      <c r="E10" s="65">
        <v>600</v>
      </c>
      <c r="F10" s="65">
        <v>100</v>
      </c>
      <c r="G10" s="65">
        <f t="shared" si="0"/>
        <v>700</v>
      </c>
      <c r="J10" s="70" t="s">
        <v>109</v>
      </c>
      <c r="K10" s="70"/>
      <c r="L10" s="70"/>
      <c r="M10" s="70"/>
      <c r="N10" s="70"/>
      <c r="O10" s="70"/>
      <c r="P10" s="70"/>
    </row>
    <row r="11" spans="1:16" x14ac:dyDescent="0.25">
      <c r="A11" s="65" t="s">
        <v>64</v>
      </c>
      <c r="B11" s="65" t="s">
        <v>65</v>
      </c>
      <c r="C11" s="65" t="s">
        <v>66</v>
      </c>
      <c r="D11" s="66">
        <v>84062</v>
      </c>
      <c r="E11" s="65">
        <v>400</v>
      </c>
      <c r="F11" s="65">
        <v>20</v>
      </c>
      <c r="G11" s="65">
        <f t="shared" si="0"/>
        <v>420</v>
      </c>
      <c r="J11" s="56"/>
      <c r="K11" s="56"/>
      <c r="L11" s="56"/>
      <c r="M11" s="56"/>
      <c r="N11" s="56"/>
      <c r="O11" s="56"/>
      <c r="P11" s="57"/>
    </row>
    <row r="12" spans="1:16" x14ac:dyDescent="0.25">
      <c r="A12" s="65" t="s">
        <v>67</v>
      </c>
      <c r="B12" s="65" t="s">
        <v>68</v>
      </c>
      <c r="C12" s="65" t="s">
        <v>69</v>
      </c>
      <c r="D12" s="66">
        <v>54111</v>
      </c>
      <c r="E12" s="65">
        <v>500</v>
      </c>
      <c r="F12" s="65"/>
      <c r="G12" s="65">
        <f t="shared" si="0"/>
        <v>500</v>
      </c>
      <c r="J12" s="58"/>
      <c r="K12" s="58"/>
      <c r="L12" s="58"/>
      <c r="M12" s="59"/>
      <c r="N12" s="58"/>
      <c r="O12" s="58"/>
      <c r="P12" s="58"/>
    </row>
    <row r="13" spans="1:16" x14ac:dyDescent="0.25">
      <c r="A13" s="65" t="s">
        <v>70</v>
      </c>
      <c r="B13" s="65" t="s">
        <v>71</v>
      </c>
      <c r="C13" s="65" t="s">
        <v>66</v>
      </c>
      <c r="D13" s="66">
        <v>18978</v>
      </c>
      <c r="E13" s="65">
        <v>400</v>
      </c>
      <c r="F13" s="65">
        <v>20</v>
      </c>
      <c r="G13" s="65">
        <f t="shared" si="0"/>
        <v>420</v>
      </c>
      <c r="J13" s="58"/>
      <c r="K13" s="58"/>
      <c r="L13" s="58"/>
      <c r="M13" s="59"/>
      <c r="N13" s="58"/>
      <c r="O13" s="58"/>
      <c r="P13" s="58"/>
    </row>
    <row r="14" spans="1:16" x14ac:dyDescent="0.25">
      <c r="A14" s="65" t="s">
        <v>72</v>
      </c>
      <c r="B14" s="65" t="s">
        <v>73</v>
      </c>
      <c r="C14" s="65" t="s">
        <v>52</v>
      </c>
      <c r="D14" s="66">
        <v>75880</v>
      </c>
      <c r="E14" s="65">
        <v>350</v>
      </c>
      <c r="F14" s="65">
        <v>90</v>
      </c>
      <c r="G14" s="65">
        <f t="shared" si="0"/>
        <v>440</v>
      </c>
      <c r="J14" s="58"/>
      <c r="K14" s="58"/>
      <c r="L14" s="58"/>
      <c r="M14" s="59"/>
      <c r="N14" s="58"/>
      <c r="O14" s="58"/>
      <c r="P14" s="58"/>
    </row>
    <row r="15" spans="1:16" x14ac:dyDescent="0.25">
      <c r="A15" s="65" t="s">
        <v>74</v>
      </c>
      <c r="B15" s="65" t="s">
        <v>75</v>
      </c>
      <c r="C15" s="65" t="s">
        <v>69</v>
      </c>
      <c r="D15" s="66">
        <v>12729</v>
      </c>
      <c r="E15" s="65">
        <v>600</v>
      </c>
      <c r="F15" s="65"/>
      <c r="G15" s="65">
        <f t="shared" si="0"/>
        <v>600</v>
      </c>
      <c r="J15" s="58"/>
      <c r="K15" s="58"/>
      <c r="L15" s="58"/>
      <c r="M15" s="59"/>
      <c r="N15" s="58"/>
      <c r="O15" s="58"/>
      <c r="P15" s="58"/>
    </row>
    <row r="16" spans="1:16" x14ac:dyDescent="0.25">
      <c r="A16" s="65" t="s">
        <v>76</v>
      </c>
      <c r="B16" s="65" t="s">
        <v>77</v>
      </c>
      <c r="C16" s="65" t="s">
        <v>78</v>
      </c>
      <c r="D16" s="66">
        <v>72044</v>
      </c>
      <c r="E16" s="65">
        <v>800</v>
      </c>
      <c r="F16" s="65">
        <v>100</v>
      </c>
      <c r="G16" s="65">
        <f t="shared" si="0"/>
        <v>900</v>
      </c>
      <c r="J16" s="58"/>
      <c r="K16" s="58"/>
      <c r="L16" s="58"/>
      <c r="M16" s="59"/>
      <c r="N16" s="58"/>
      <c r="O16" s="58"/>
      <c r="P16" s="58"/>
    </row>
    <row r="17" spans="1:16" x14ac:dyDescent="0.25">
      <c r="A17" s="65" t="s">
        <v>79</v>
      </c>
      <c r="B17" s="65" t="s">
        <v>80</v>
      </c>
      <c r="C17" s="65" t="s">
        <v>69</v>
      </c>
      <c r="D17" s="66">
        <v>39377</v>
      </c>
      <c r="E17" s="65">
        <v>550</v>
      </c>
      <c r="F17" s="65">
        <v>125</v>
      </c>
      <c r="G17" s="65">
        <f t="shared" si="0"/>
        <v>675</v>
      </c>
      <c r="J17" s="58"/>
      <c r="K17" s="58"/>
      <c r="L17" s="58"/>
      <c r="M17" s="59"/>
      <c r="N17" s="58"/>
      <c r="O17" s="58"/>
      <c r="P17" s="58"/>
    </row>
    <row r="18" spans="1:16" x14ac:dyDescent="0.25">
      <c r="A18" s="65" t="s">
        <v>81</v>
      </c>
      <c r="B18" s="65" t="s">
        <v>82</v>
      </c>
      <c r="C18" s="65" t="s">
        <v>69</v>
      </c>
      <c r="D18" s="66">
        <v>38257</v>
      </c>
      <c r="E18" s="65">
        <v>600</v>
      </c>
      <c r="F18" s="65">
        <v>125</v>
      </c>
      <c r="G18" s="65">
        <f t="shared" si="0"/>
        <v>725</v>
      </c>
      <c r="J18" s="58"/>
      <c r="K18" s="58"/>
      <c r="L18" s="58"/>
      <c r="M18" s="59"/>
      <c r="N18" s="58"/>
      <c r="O18" s="58"/>
      <c r="P18" s="58"/>
    </row>
    <row r="19" spans="1:16" x14ac:dyDescent="0.25">
      <c r="A19" s="65" t="s">
        <v>83</v>
      </c>
      <c r="B19" s="65" t="s">
        <v>84</v>
      </c>
      <c r="C19" s="65" t="s">
        <v>85</v>
      </c>
      <c r="D19" s="66">
        <v>54479</v>
      </c>
      <c r="E19" s="65">
        <v>600</v>
      </c>
      <c r="F19" s="65"/>
      <c r="G19" s="65">
        <f t="shared" si="0"/>
        <v>600</v>
      </c>
      <c r="J19" s="58"/>
      <c r="K19" s="58"/>
      <c r="L19" s="58"/>
      <c r="M19" s="59"/>
      <c r="N19" s="58"/>
      <c r="O19" s="58"/>
      <c r="P19" s="58"/>
    </row>
    <row r="20" spans="1:16" x14ac:dyDescent="0.25">
      <c r="A20" s="65" t="s">
        <v>86</v>
      </c>
      <c r="B20" s="65" t="s">
        <v>87</v>
      </c>
      <c r="C20" s="65" t="s">
        <v>55</v>
      </c>
      <c r="D20" s="66">
        <v>23904</v>
      </c>
      <c r="E20" s="65">
        <v>900</v>
      </c>
      <c r="F20" s="65">
        <v>150</v>
      </c>
      <c r="G20" s="65">
        <f t="shared" si="0"/>
        <v>1050</v>
      </c>
      <c r="J20" s="58"/>
      <c r="K20" s="58"/>
      <c r="L20" s="58"/>
      <c r="M20" s="59"/>
      <c r="N20" s="58"/>
      <c r="O20" s="58"/>
      <c r="P20" s="58"/>
    </row>
    <row r="21" spans="1:16" x14ac:dyDescent="0.25">
      <c r="A21" s="65" t="s">
        <v>88</v>
      </c>
      <c r="B21" s="65" t="s">
        <v>89</v>
      </c>
      <c r="C21" s="65" t="s">
        <v>69</v>
      </c>
      <c r="D21" s="66">
        <v>17267</v>
      </c>
      <c r="E21" s="65">
        <v>500</v>
      </c>
      <c r="F21" s="65">
        <v>125</v>
      </c>
      <c r="G21" s="65">
        <f t="shared" si="0"/>
        <v>625</v>
      </c>
      <c r="J21" s="58"/>
      <c r="K21" s="58"/>
      <c r="L21" s="58"/>
      <c r="M21" s="59"/>
      <c r="N21" s="58"/>
      <c r="O21" s="58"/>
      <c r="P21" s="58"/>
    </row>
    <row r="22" spans="1:16" x14ac:dyDescent="0.25">
      <c r="A22" s="65" t="s">
        <v>90</v>
      </c>
      <c r="B22" s="65" t="s">
        <v>91</v>
      </c>
      <c r="C22" s="65" t="s">
        <v>92</v>
      </c>
      <c r="D22" s="66">
        <v>64931</v>
      </c>
      <c r="E22" s="65">
        <v>600</v>
      </c>
      <c r="F22" s="65">
        <v>50</v>
      </c>
      <c r="G22" s="65">
        <f t="shared" si="0"/>
        <v>650</v>
      </c>
      <c r="J22" s="58"/>
      <c r="K22" s="58"/>
      <c r="L22" s="58"/>
      <c r="M22" s="59"/>
      <c r="N22" s="58"/>
      <c r="O22" s="58"/>
      <c r="P22" s="58"/>
    </row>
    <row r="23" spans="1:16" x14ac:dyDescent="0.25">
      <c r="A23" s="65" t="s">
        <v>93</v>
      </c>
      <c r="B23" s="65" t="s">
        <v>94</v>
      </c>
      <c r="C23" s="65" t="s">
        <v>85</v>
      </c>
      <c r="D23" s="66">
        <v>44642</v>
      </c>
      <c r="E23" s="65">
        <v>600</v>
      </c>
      <c r="F23" s="65">
        <v>50</v>
      </c>
      <c r="G23" s="65">
        <f t="shared" si="0"/>
        <v>650</v>
      </c>
      <c r="J23" s="58"/>
      <c r="K23" s="58"/>
      <c r="L23" s="58"/>
      <c r="M23" s="59"/>
      <c r="N23" s="58"/>
      <c r="O23" s="58"/>
      <c r="P23" s="58"/>
    </row>
    <row r="24" spans="1:16" x14ac:dyDescent="0.25">
      <c r="A24" s="65" t="s">
        <v>95</v>
      </c>
      <c r="B24" s="65" t="s">
        <v>96</v>
      </c>
      <c r="C24" s="65" t="s">
        <v>55</v>
      </c>
      <c r="D24" s="66">
        <v>67841</v>
      </c>
      <c r="E24" s="65">
        <v>800</v>
      </c>
      <c r="F24" s="65">
        <v>200</v>
      </c>
      <c r="G24" s="65">
        <f t="shared" si="0"/>
        <v>1000</v>
      </c>
      <c r="J24" s="58"/>
      <c r="K24" s="58"/>
      <c r="L24" s="58"/>
      <c r="M24" s="59"/>
      <c r="N24" s="58"/>
      <c r="O24" s="58"/>
      <c r="P24" s="58"/>
    </row>
    <row r="25" spans="1:16" x14ac:dyDescent="0.25">
      <c r="A25" s="67" t="s">
        <v>97</v>
      </c>
      <c r="B25" s="67" t="s">
        <v>98</v>
      </c>
      <c r="C25" s="65" t="s">
        <v>69</v>
      </c>
      <c r="D25" s="66">
        <v>35100</v>
      </c>
      <c r="E25" s="65">
        <v>550</v>
      </c>
      <c r="F25" s="65"/>
      <c r="G25" s="65">
        <f t="shared" si="0"/>
        <v>550</v>
      </c>
      <c r="J25" s="58"/>
      <c r="K25" s="58"/>
      <c r="L25" s="58"/>
      <c r="M25" s="59"/>
      <c r="N25" s="58"/>
      <c r="O25" s="58"/>
      <c r="P25" s="58"/>
    </row>
    <row r="26" spans="1:16" x14ac:dyDescent="0.25">
      <c r="A26" s="65" t="s">
        <v>99</v>
      </c>
      <c r="B26" s="65" t="s">
        <v>100</v>
      </c>
      <c r="C26" s="65" t="s">
        <v>52</v>
      </c>
      <c r="D26" s="66">
        <v>33130</v>
      </c>
      <c r="E26" s="65">
        <v>360</v>
      </c>
      <c r="F26" s="65">
        <v>80</v>
      </c>
      <c r="G26" s="65">
        <f t="shared" si="0"/>
        <v>440</v>
      </c>
      <c r="J26" s="58"/>
      <c r="K26" s="58"/>
      <c r="L26" s="58"/>
      <c r="M26" s="59"/>
      <c r="N26" s="58"/>
      <c r="O26" s="58"/>
      <c r="P26" s="58"/>
    </row>
    <row r="27" spans="1:16" x14ac:dyDescent="0.25">
      <c r="A27" s="65" t="s">
        <v>101</v>
      </c>
      <c r="B27" s="65" t="s">
        <v>102</v>
      </c>
      <c r="C27" s="65" t="s">
        <v>85</v>
      </c>
      <c r="D27" s="66">
        <v>14993</v>
      </c>
      <c r="E27" s="65">
        <v>600</v>
      </c>
      <c r="F27" s="65">
        <v>60</v>
      </c>
      <c r="G27" s="65">
        <f t="shared" si="0"/>
        <v>660</v>
      </c>
      <c r="J27" s="58"/>
      <c r="K27" s="58"/>
      <c r="L27" s="58"/>
      <c r="M27" s="59"/>
      <c r="N27" s="58"/>
      <c r="O27" s="58"/>
      <c r="P27" s="58"/>
    </row>
    <row r="36" spans="10:16" x14ac:dyDescent="0.25">
      <c r="J36" s="58"/>
      <c r="K36" s="58"/>
      <c r="L36" s="58"/>
      <c r="M36" s="59"/>
      <c r="N36" s="58"/>
      <c r="O36" s="58"/>
      <c r="P36" s="58"/>
    </row>
    <row r="37" spans="10:16" x14ac:dyDescent="0.25">
      <c r="J37" s="58"/>
      <c r="K37" s="58"/>
      <c r="L37" s="58"/>
      <c r="M37" s="59"/>
      <c r="N37" s="58"/>
      <c r="O37" s="58"/>
      <c r="P37" s="58"/>
    </row>
    <row r="38" spans="10:16" x14ac:dyDescent="0.25">
      <c r="J38" s="58"/>
      <c r="K38" s="58"/>
      <c r="L38" s="58"/>
      <c r="M38" s="59"/>
      <c r="N38" s="58"/>
      <c r="O38" s="58"/>
      <c r="P38" s="58"/>
    </row>
    <row r="39" spans="10:16" x14ac:dyDescent="0.25">
      <c r="J39" s="58"/>
      <c r="K39" s="58"/>
      <c r="L39" s="58"/>
      <c r="M39" s="59"/>
      <c r="N39" s="58"/>
      <c r="O39" s="58"/>
      <c r="P39" s="58"/>
    </row>
    <row r="40" spans="10:16" x14ac:dyDescent="0.25">
      <c r="J40" s="58"/>
      <c r="K40" s="58"/>
      <c r="L40" s="58"/>
      <c r="M40" s="59"/>
      <c r="N40" s="58"/>
      <c r="O40" s="58"/>
      <c r="P40" s="58"/>
    </row>
    <row r="41" spans="10:16" x14ac:dyDescent="0.25">
      <c r="J41" s="58"/>
      <c r="K41" s="58"/>
      <c r="L41" s="58"/>
      <c r="M41" s="59"/>
      <c r="N41" s="58"/>
      <c r="O41" s="58"/>
      <c r="P41" s="58"/>
    </row>
  </sheetData>
  <mergeCells count="6">
    <mergeCell ref="J9:P9"/>
    <mergeCell ref="J10:P10"/>
    <mergeCell ref="A3:G3"/>
    <mergeCell ref="A4:G4"/>
    <mergeCell ref="J4:M4"/>
    <mergeCell ref="J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E1</vt:lpstr>
      <vt:lpstr>E2</vt:lpstr>
      <vt:lpstr>E3</vt:lpstr>
      <vt:lpstr>E4</vt:lpstr>
      <vt:lpstr>E5</vt:lpstr>
      <vt:lpstr>bono</vt:lpstr>
      <vt:lpstr>CAMTIDAD</vt:lpstr>
      <vt:lpstr>Cantida</vt:lpstr>
      <vt:lpstr>precio</vt:lpstr>
      <vt:lpstr>PRECIOS</vt:lpstr>
      <vt:lpstr>salario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2022-09-29T18:57:43Z</dcterms:modified>
</cp:coreProperties>
</file>