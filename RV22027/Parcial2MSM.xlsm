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k\ManejoSoftwareLU\RV22027\"/>
    </mc:Choice>
  </mc:AlternateContent>
  <xr:revisionPtr revIDLastSave="0" documentId="13_ncr:1_{3A3817B6-77E2-4FEE-8F49-F510E6126769}" xr6:coauthVersionLast="47" xr6:coauthVersionMax="47" xr10:uidLastSave="{00000000-0000-0000-0000-000000000000}"/>
  <bookViews>
    <workbookView xWindow="-108" yWindow="-108" windowWidth="23256" windowHeight="12456" activeTab="2" xr2:uid="{2CD82166-DBD3-456E-B9DD-1592EBDA5A60}"/>
  </bookViews>
  <sheets>
    <sheet name="E1" sheetId="1" r:id="rId1"/>
    <sheet name="E2" sheetId="2" r:id="rId2"/>
    <sheet name="E3" sheetId="3" r:id="rId3"/>
    <sheet name="E4" sheetId="4" r:id="rId4"/>
    <sheet name="E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3" l="1"/>
  <c r="E5" i="3"/>
  <c r="E6" i="3"/>
  <c r="E7" i="3"/>
  <c r="E8" i="3"/>
  <c r="E9" i="3"/>
  <c r="E10" i="3"/>
  <c r="E11" i="3"/>
  <c r="E12" i="3"/>
  <c r="E13" i="3"/>
  <c r="E14" i="3"/>
  <c r="E15" i="3"/>
  <c r="E3" i="3"/>
  <c r="D17" i="3"/>
  <c r="C17" i="3"/>
  <c r="B17" i="3"/>
  <c r="E17" i="3" l="1"/>
  <c r="K3" i="1" l="1"/>
  <c r="K4" i="1"/>
  <c r="K5" i="1"/>
  <c r="K6" i="1"/>
  <c r="K7" i="1"/>
  <c r="K8" i="1"/>
  <c r="K9" i="1"/>
  <c r="K10" i="1"/>
  <c r="K11" i="1"/>
  <c r="J3" i="1"/>
  <c r="J4" i="1"/>
  <c r="J5" i="1"/>
  <c r="J6" i="1"/>
  <c r="J7" i="1"/>
  <c r="J8" i="1"/>
  <c r="J9" i="1"/>
  <c r="J10" i="1"/>
  <c r="J11" i="1"/>
  <c r="I3" i="1"/>
  <c r="I4" i="1"/>
  <c r="I5" i="1"/>
  <c r="I6" i="1"/>
  <c r="I7" i="1"/>
  <c r="I8" i="1"/>
  <c r="I9" i="1"/>
  <c r="I10" i="1"/>
  <c r="I11" i="1"/>
  <c r="H3" i="1"/>
  <c r="H4" i="1"/>
  <c r="H5" i="1"/>
  <c r="H6" i="1"/>
  <c r="H7" i="1"/>
  <c r="H8" i="1"/>
  <c r="H9" i="1"/>
  <c r="H10" i="1"/>
  <c r="H11" i="1"/>
  <c r="G3" i="1"/>
  <c r="G4" i="1"/>
  <c r="G5" i="1"/>
  <c r="G6" i="1"/>
  <c r="G7" i="1"/>
  <c r="G8" i="1"/>
  <c r="G9" i="1"/>
  <c r="G10" i="1"/>
  <c r="G11" i="1"/>
  <c r="F3" i="1"/>
  <c r="F4" i="1"/>
  <c r="F5" i="1"/>
  <c r="F6" i="1"/>
  <c r="F7" i="1"/>
  <c r="F8" i="1"/>
  <c r="F9" i="1"/>
  <c r="F10" i="1"/>
  <c r="F11" i="1"/>
  <c r="E3" i="1"/>
  <c r="E4" i="1"/>
  <c r="E5" i="1"/>
  <c r="E6" i="1"/>
  <c r="E7" i="1"/>
  <c r="E8" i="1"/>
  <c r="E9" i="1"/>
  <c r="E10" i="1"/>
  <c r="E11" i="1"/>
  <c r="D3" i="1"/>
  <c r="D4" i="1"/>
  <c r="D5" i="1"/>
  <c r="D6" i="1"/>
  <c r="D7" i="1"/>
  <c r="D8" i="1"/>
  <c r="D9" i="1"/>
  <c r="D10" i="1"/>
  <c r="D11" i="1"/>
  <c r="C3" i="1"/>
  <c r="C4" i="1"/>
  <c r="C5" i="1"/>
  <c r="C6" i="1"/>
  <c r="C7" i="1"/>
  <c r="C8" i="1"/>
  <c r="C9" i="1"/>
  <c r="C10" i="1"/>
  <c r="C11" i="1"/>
  <c r="D2" i="1"/>
  <c r="E2" i="1"/>
  <c r="F2" i="1"/>
  <c r="G2" i="1"/>
  <c r="H2" i="1"/>
  <c r="I2" i="1"/>
  <c r="J2" i="1"/>
  <c r="K2" i="1"/>
  <c r="C2" i="1"/>
  <c r="B3" i="1"/>
  <c r="B4" i="1"/>
  <c r="B6" i="1"/>
  <c r="B7" i="1"/>
  <c r="B8" i="1"/>
  <c r="B10" i="1"/>
  <c r="B11" i="1"/>
  <c r="B2" i="1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5" i="5"/>
  <c r="D15" i="3"/>
  <c r="D14" i="3"/>
  <c r="D13" i="3"/>
  <c r="D12" i="3"/>
  <c r="D11" i="3"/>
  <c r="D10" i="3"/>
  <c r="D9" i="3"/>
  <c r="D8" i="3"/>
  <c r="D7" i="3"/>
  <c r="D6" i="3"/>
  <c r="D5" i="3"/>
  <c r="D4" i="3"/>
  <c r="D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tc={4CFFA060-0D7D-4BE3-8BEF-75B0BEFD780D}</author>
    <author>Erick</author>
  </authors>
  <commentList>
    <comment ref="A3" authorId="0" shapeId="0" xr:uid="{4CFFA060-0D7D-4BE3-8BEF-75B0BEFD780D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Esta macro esta hecha para conocer el total de ganancias de un producto por su precio y su numero de ventas, puesto que no conozco que parámetros exactos se usan para calcular dicha cantidad lo reduje a lo mas simple posible. </t>
      </text>
    </comment>
    <comment ref="A4" authorId="1" shapeId="0" xr:uid="{1B057405-B345-49BF-8B7E-7ADDC428C955}">
      <text>
        <r>
          <rPr>
            <b/>
            <sz val="9"/>
            <color indexed="81"/>
            <rFont val="Tahoma"/>
            <charset val="1"/>
          </rPr>
          <t>Erick:</t>
        </r>
        <r>
          <rPr>
            <sz val="9"/>
            <color indexed="81"/>
            <rFont val="Tahoma"/>
            <charset val="1"/>
          </rPr>
          <t xml:space="preserve">
Los datos y juegos de esta lista son de carácter personal y no tienen nada que ver con las estadisticas reales de dichos juegos</t>
        </r>
      </text>
    </comment>
    <comment ref="D4" authorId="1" shapeId="0" xr:uid="{95DB9312-0A8E-4303-B7E7-824DD7C0B48D}">
      <text>
        <r>
          <rPr>
            <b/>
            <sz val="9"/>
            <color indexed="81"/>
            <rFont val="Tahoma"/>
            <charset val="1"/>
          </rPr>
          <t>Erick:</t>
        </r>
        <r>
          <rPr>
            <sz val="9"/>
            <color indexed="81"/>
            <rFont val="Tahoma"/>
            <charset val="1"/>
          </rPr>
          <t xml:space="preserve">
El dato esta basado en el numero de copias vendidas en el año 2022
(otra vez, esto es de carácter personal)</t>
        </r>
      </text>
    </comment>
    <comment ref="E4" authorId="1" shapeId="0" xr:uid="{19304A6D-7046-4B91-A031-CD81D164364C}">
      <text>
        <r>
          <rPr>
            <b/>
            <sz val="9"/>
            <color indexed="81"/>
            <rFont val="Tahoma"/>
            <family val="2"/>
          </rPr>
          <t>Erick:</t>
        </r>
        <r>
          <rPr>
            <sz val="9"/>
            <color indexed="81"/>
            <rFont val="Tahoma"/>
            <family val="2"/>
          </rPr>
          <t xml:space="preserve">
Las casillas indican si el total esta por encima o debajo del promedio, el verde es por encima y el rojo por debajo</t>
        </r>
      </text>
    </comment>
  </commentList>
</comments>
</file>

<file path=xl/sharedStrings.xml><?xml version="1.0" encoding="utf-8"?>
<sst xmlns="http://schemas.openxmlformats.org/spreadsheetml/2006/main" count="89" uniqueCount="70">
  <si>
    <t>#</t>
  </si>
  <si>
    <t>1) Crea una macro y su respectivo boton llamado TABLA para llenar la tabla con los valores corespondientes a las tablas de multiplicar.</t>
  </si>
  <si>
    <t>2) Crea una macro llamada formato y asignala a un Boton llamado Boton de Formato (Al precionar el boton deberas aplicar fuente negrita y color de fondo para los encabezados de la tabla).</t>
  </si>
  <si>
    <t>X</t>
  </si>
  <si>
    <t>Num</t>
  </si>
  <si>
    <t>=</t>
  </si>
  <si>
    <t>1) Crea una macro y su boton correspondiente para mostrar la tabla de cualquier numero que se ingrese a la celda E12.</t>
  </si>
  <si>
    <t>2) Crea una macro para darle el formato y colores que qieras a la tabla.</t>
  </si>
  <si>
    <t>Pedidos mensuales</t>
  </si>
  <si>
    <t>Artículo</t>
  </si>
  <si>
    <t>Cantidad</t>
  </si>
  <si>
    <t>Precio ($)</t>
  </si>
  <si>
    <t>Total ($) sin IVA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</si>
  <si>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</si>
  <si>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</si>
  <si>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</si>
  <si>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</si>
  <si>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</si>
  <si>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</si>
  <si>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</si>
  <si>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</si>
  <si>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</si>
  <si>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</si>
  <si>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</si>
  <si>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</si>
  <si>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</si>
  <si>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Total</t>
  </si>
  <si>
    <t>Diciembre</t>
  </si>
  <si>
    <t>IVA</t>
  </si>
  <si>
    <t>TOTAL ($) IVA</t>
  </si>
  <si>
    <t>1) Crea una macro para darle el formato adecuado a los valores de la tabla y el IVA</t>
  </si>
  <si>
    <t>2) Crea una macro para el total del IVA (Los valores para E3 a E15)</t>
  </si>
  <si>
    <t>3)Crea una macro para que sume la Total Iva</t>
  </si>
  <si>
    <t>4) Crea una macro para que sume loa valores correspondientes al total para las columnas B,C,D</t>
  </si>
  <si>
    <t>5)Asigna todas las macros anteriores a un boton para c/u.</t>
  </si>
  <si>
    <t>Segundo Nombre</t>
  </si>
  <si>
    <t>Primer Nombre</t>
  </si>
  <si>
    <t>Primer Apellido</t>
  </si>
  <si>
    <t>Segundo Apellido</t>
  </si>
  <si>
    <t xml:space="preserve">1) Crea una macro para aplicar un tipo de letra, familia, tamaño, color,etc. A cada uno de tus Nombres.      </t>
  </si>
  <si>
    <t>CREA UNA MACRO DE LO QUE GUSTES Y EXPLICA SU FUNCIONAMIENTO Y PROPOCITO.</t>
  </si>
  <si>
    <t xml:space="preserve">Lista de juegos mas vendidos del 2022 </t>
  </si>
  <si>
    <t>Juegos</t>
  </si>
  <si>
    <t>Precio</t>
  </si>
  <si>
    <t xml:space="preserve">N. de ventas </t>
  </si>
  <si>
    <t>Elden Ring</t>
  </si>
  <si>
    <t>LEGO Star Wars: La saga Skywlaker</t>
  </si>
  <si>
    <t>Pokemon Legends:Arceus</t>
  </si>
  <si>
    <t>Horizon Forbidden West</t>
  </si>
  <si>
    <t>MLB El Show 22</t>
  </si>
  <si>
    <t>Call of Duty: Vanguardia</t>
  </si>
  <si>
    <t>Gran Turismo 7</t>
  </si>
  <si>
    <t>Kirby y la tierra olvidada</t>
  </si>
  <si>
    <t>Mario Kart 8</t>
  </si>
  <si>
    <t>Madden NFL</t>
  </si>
  <si>
    <t>Minecraft</t>
  </si>
  <si>
    <t>Fifa22</t>
  </si>
  <si>
    <t>Marvel´s Spide-Man: Miles Morales</t>
  </si>
  <si>
    <t>Cazador de Monstruos: Asciende</t>
  </si>
  <si>
    <t>Deportes de interruptor de Nintendo</t>
  </si>
  <si>
    <t>Super Smash Bros Ultimate</t>
  </si>
  <si>
    <t>Mario Party Superstars</t>
  </si>
  <si>
    <t>Call of Duty: Black Ops: Cold War</t>
  </si>
  <si>
    <t>Ratchet &amp; Clank: Rift Apart</t>
  </si>
  <si>
    <t>Cyberpunk</t>
  </si>
  <si>
    <t>God of War</t>
  </si>
  <si>
    <t>Josué</t>
  </si>
  <si>
    <t>Rivera</t>
  </si>
  <si>
    <t>Velásquez</t>
  </si>
  <si>
    <t>Erick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</si>
</sst>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&quot;$&quot;#,##0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b/>
      <u/>
      <sz val="1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lgerian"/>
      <family val="5"/>
    </font>
    <font>
      <sz val="16"/>
      <color rgb="FFFF0000"/>
      <name val="Algerian"/>
      <family val="5"/>
    </font>
    <font>
      <sz val="8"/>
      <color rgb="FF0000FF"/>
      <name val="Harlow Solid Italic"/>
      <family val="5"/>
    </font>
    <font>
      <sz val="22"/>
      <color rgb="FFFFFF00"/>
      <name val="Ink Free"/>
      <family val="4"/>
    </font>
    <font>
      <sz val="11"/>
      <color rgb="FF00B050"/>
      <name val="Snap ITC"/>
      <family val="5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8F8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75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DB2FF"/>
        <bgColor indexed="64"/>
      </patternFill>
    </fill>
    <fill>
      <patternFill patternType="solid">
        <fgColor rgb="FFFFAD5B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450666829432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49" fontId="0" fillId="0" borderId="0" xfId="0" applyNumberFormat="1" applyAlignment="1">
      <alignment horizontal="center"/>
    </xf>
    <xf numFmtId="1" fontId="0" fillId="0" borderId="0" xfId="0" applyNumberFormat="1"/>
    <xf numFmtId="1" fontId="0" fillId="0" borderId="2" xfId="0" applyNumberFormat="1" applyBorder="1"/>
    <xf numFmtId="0" fontId="0" fillId="2" borderId="2" xfId="0" applyFill="1" applyBorder="1" applyAlignment="1">
      <alignment horizontal="center"/>
    </xf>
    <xf numFmtId="165" fontId="0" fillId="0" borderId="0" xfId="0" applyNumberFormat="1"/>
    <xf numFmtId="0" fontId="0" fillId="0" borderId="23" xfId="0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5" borderId="3" xfId="0" applyFill="1" applyBorder="1" applyAlignment="1">
      <alignment horizontal="center"/>
    </xf>
    <xf numFmtId="0" fontId="0" fillId="6" borderId="3" xfId="0" applyFill="1" applyBorder="1"/>
    <xf numFmtId="0" fontId="0" fillId="5" borderId="4" xfId="0" applyFill="1" applyBorder="1" applyAlignment="1">
      <alignment horizontal="center"/>
    </xf>
    <xf numFmtId="165" fontId="0" fillId="0" borderId="13" xfId="0" applyNumberFormat="1" applyBorder="1"/>
    <xf numFmtId="165" fontId="0" fillId="5" borderId="13" xfId="0" applyNumberFormat="1" applyFill="1" applyBorder="1" applyAlignment="1">
      <alignment horizontal="center"/>
    </xf>
    <xf numFmtId="165" fontId="0" fillId="5" borderId="1" xfId="0" applyNumberFormat="1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" fontId="2" fillId="8" borderId="14" xfId="1" applyNumberFormat="1" applyFont="1" applyFill="1" applyBorder="1" applyAlignment="1">
      <alignment horizontal="center"/>
    </xf>
    <xf numFmtId="1" fontId="2" fillId="8" borderId="3" xfId="1" applyNumberFormat="1" applyFont="1" applyFill="1" applyBorder="1" applyAlignment="1">
      <alignment horizontal="center"/>
    </xf>
    <xf numFmtId="1" fontId="2" fillId="8" borderId="4" xfId="1" applyNumberFormat="1" applyFont="1" applyFill="1" applyBorder="1" applyAlignment="1">
      <alignment horizontal="center"/>
    </xf>
    <xf numFmtId="0" fontId="2" fillId="10" borderId="11" xfId="0" applyFont="1" applyFill="1" applyBorder="1" applyAlignment="1">
      <alignment horizontal="center"/>
    </xf>
    <xf numFmtId="0" fontId="2" fillId="10" borderId="9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0" fillId="7" borderId="12" xfId="0" applyFill="1" applyBorder="1"/>
    <xf numFmtId="0" fontId="0" fillId="4" borderId="12" xfId="0" applyFill="1" applyBorder="1"/>
    <xf numFmtId="1" fontId="11" fillId="9" borderId="15" xfId="0" applyNumberFormat="1" applyFont="1" applyFill="1" applyBorder="1"/>
    <xf numFmtId="0" fontId="0" fillId="9" borderId="16" xfId="0" applyFill="1" applyBorder="1" applyAlignment="1">
      <alignment horizontal="center"/>
    </xf>
    <xf numFmtId="49" fontId="0" fillId="9" borderId="16" xfId="0" applyNumberFormat="1" applyFill="1" applyBorder="1" applyAlignment="1">
      <alignment horizontal="center"/>
    </xf>
    <xf numFmtId="1" fontId="0" fillId="9" borderId="17" xfId="0" applyNumberFormat="1" applyFill="1" applyBorder="1"/>
    <xf numFmtId="0" fontId="0" fillId="9" borderId="1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13" fillId="0" borderId="1" xfId="0" applyFont="1" applyBorder="1"/>
    <xf numFmtId="0" fontId="14" fillId="0" borderId="1" xfId="0" applyFont="1" applyBorder="1" applyAlignment="1">
      <alignment horizontal="center"/>
    </xf>
    <xf numFmtId="0" fontId="12" fillId="0" borderId="0" xfId="0" applyFont="1"/>
    <xf numFmtId="0" fontId="16" fillId="0" borderId="1" xfId="0" applyFont="1" applyBorder="1" applyAlignment="1">
      <alignment horizontal="right" vertical="center"/>
    </xf>
    <xf numFmtId="0" fontId="14" fillId="0" borderId="0" xfId="0" applyFont="1"/>
    <xf numFmtId="0" fontId="16" fillId="0" borderId="0" xfId="0" applyFont="1"/>
    <xf numFmtId="0" fontId="15" fillId="0" borderId="1" xfId="0" applyFont="1" applyBorder="1" applyAlignment="1">
      <alignment horizontal="center" vertical="center"/>
    </xf>
    <xf numFmtId="0" fontId="0" fillId="0" borderId="5" xfId="0" applyBorder="1"/>
    <xf numFmtId="49" fontId="2" fillId="8" borderId="19" xfId="0" applyNumberFormat="1" applyFont="1" applyFill="1" applyBorder="1"/>
    <xf numFmtId="165" fontId="0" fillId="8" borderId="19" xfId="0" applyNumberFormat="1" applyFill="1" applyBorder="1"/>
    <xf numFmtId="0" fontId="4" fillId="11" borderId="20" xfId="0" applyFont="1" applyFill="1" applyBorder="1" applyAlignment="1">
      <alignment horizontal="left" vertical="center"/>
    </xf>
    <xf numFmtId="0" fontId="4" fillId="11" borderId="21" xfId="0" applyFont="1" applyFill="1" applyBorder="1" applyAlignment="1">
      <alignment horizontal="center" vertical="center"/>
    </xf>
    <xf numFmtId="0" fontId="4" fillId="12" borderId="11" xfId="0" applyFont="1" applyFill="1" applyBorder="1" applyAlignment="1">
      <alignment horizontal="left" vertical="center" wrapText="1"/>
    </xf>
    <xf numFmtId="0" fontId="4" fillId="12" borderId="9" xfId="0" applyFont="1" applyFill="1" applyBorder="1" applyAlignment="1">
      <alignment horizontal="left" vertical="center" wrapText="1"/>
    </xf>
    <xf numFmtId="0" fontId="4" fillId="12" borderId="10" xfId="0" applyFont="1" applyFill="1" applyBorder="1" applyAlignment="1">
      <alignment horizontal="left" vertical="center" wrapText="1"/>
    </xf>
    <xf numFmtId="0" fontId="4" fillId="7" borderId="12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4" fillId="11" borderId="13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0" fillId="8" borderId="26" xfId="0" applyFill="1" applyBorder="1"/>
    <xf numFmtId="0" fontId="0" fillId="11" borderId="13" xfId="0" applyFill="1" applyBorder="1"/>
    <xf numFmtId="165" fontId="4" fillId="7" borderId="22" xfId="0" applyNumberFormat="1" applyFont="1" applyFill="1" applyBorder="1" applyAlignment="1">
      <alignment horizontal="center" vertical="center"/>
    </xf>
    <xf numFmtId="0" fontId="0" fillId="7" borderId="27" xfId="0" applyFill="1" applyBorder="1"/>
    <xf numFmtId="3" fontId="6" fillId="13" borderId="19" xfId="0" applyNumberFormat="1" applyFont="1" applyFill="1" applyBorder="1" applyAlignment="1">
      <alignment horizontal="center" vertical="center"/>
    </xf>
    <xf numFmtId="165" fontId="6" fillId="6" borderId="2" xfId="0" applyNumberFormat="1" applyFont="1" applyFill="1" applyBorder="1" applyAlignment="1">
      <alignment horizontal="center" vertical="center"/>
    </xf>
    <xf numFmtId="165" fontId="3" fillId="13" borderId="19" xfId="0" applyNumberFormat="1" applyFont="1" applyFill="1" applyBorder="1" applyAlignment="1">
      <alignment horizontal="center" vertical="center"/>
    </xf>
    <xf numFmtId="0" fontId="0" fillId="15" borderId="28" xfId="0" applyFill="1" applyBorder="1"/>
    <xf numFmtId="0" fontId="3" fillId="14" borderId="2" xfId="0" applyFont="1" applyFill="1" applyBorder="1" applyAlignment="1">
      <alignment horizontal="center" vertical="center" wrapText="1"/>
    </xf>
    <xf numFmtId="165" fontId="17" fillId="6" borderId="2" xfId="0" applyNumberFormat="1" applyFont="1" applyFill="1" applyBorder="1" applyAlignment="1">
      <alignment horizontal="center"/>
    </xf>
    <xf numFmtId="0" fontId="18" fillId="8" borderId="18" xfId="0" applyFont="1" applyFill="1" applyBorder="1"/>
    <xf numFmtId="165" fontId="4" fillId="11" borderId="29" xfId="0" applyNumberFormat="1" applyFont="1" applyFill="1" applyBorder="1" applyAlignment="1">
      <alignment horizontal="center" vertical="center"/>
    </xf>
    <xf numFmtId="0" fontId="4" fillId="7" borderId="30" xfId="0" applyFont="1" applyFill="1" applyBorder="1" applyAlignment="1">
      <alignment horizontal="center" vertical="center"/>
    </xf>
    <xf numFmtId="0" fontId="4" fillId="7" borderId="31" xfId="0" applyFont="1" applyFill="1" applyBorder="1" applyAlignment="1">
      <alignment horizontal="center" vertical="center"/>
    </xf>
    <xf numFmtId="0" fontId="4" fillId="7" borderId="32" xfId="0" applyFont="1" applyFill="1" applyBorder="1" applyAlignment="1">
      <alignment horizontal="center" vertical="center"/>
    </xf>
    <xf numFmtId="0" fontId="4" fillId="16" borderId="2" xfId="0" applyFont="1" applyFill="1" applyBorder="1" applyAlignment="1">
      <alignment horizontal="left" vertical="center" wrapText="1"/>
    </xf>
    <xf numFmtId="0" fontId="0" fillId="0" borderId="0" xfId="0" applyAlignment="1">
      <alignment horizontal="left" indent="1"/>
    </xf>
    <xf numFmtId="0" fontId="0" fillId="7" borderId="1" xfId="0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25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7" borderId="13" xfId="0" applyFill="1" applyBorder="1" applyAlignment="1">
      <alignment horizontal="center"/>
    </xf>
  </cellXfs>
  <cellStyles count="2">
    <cellStyle name="Millares" xfId="1" builtinId="3"/>
    <cellStyle name="Normal" xfId="0" builtinId="0"/>
  </cellStyles>
  <dxfs count="26"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8F8FFF"/>
      <color rgb="FF66FFFF"/>
      <color rgb="FFFFFF75"/>
      <color rgb="FFFFAD5B"/>
      <color rgb="FFFF7979"/>
      <color rgb="FF99FF66"/>
      <color rgb="FF0000FF"/>
      <color rgb="FF0000B8"/>
      <color rgb="FF7DB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106680</xdr:colOff>
      <xdr:row>1</xdr:row>
      <xdr:rowOff>22860</xdr:rowOff>
    </xdr:from>
    <xdr:to>
      <xdr:col>13</xdr:col>
      <xdr:colOff>594360</xdr:colOff>
      <xdr:row>3</xdr:row>
      <xdr:rowOff>160020</xdr:rowOff>
    </xdr:to>
    <xdr:sp macro="[0]!Tabl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DA73A15-30E4-3F69-0ABC-3A8D3AB95130}"/>
            </a:ext>
          </a:extLst>
        </xdr:cNvPr>
        <xdr:cNvSpPr/>
      </xdr:nvSpPr>
      <xdr:spPr>
        <a:xfrm>
          <a:off x="9639300" y="213360"/>
          <a:ext cx="1280160" cy="502920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400" b="1"/>
            <a:t>TABLA</a:t>
          </a:r>
        </a:p>
      </xdr:txBody>
    </xdr:sp>
    <xdr:clientData/>
  </xdr:twoCellAnchor>
  <xdr:twoCellAnchor>
    <xdr:from>
      <xdr:col>12</xdr:col>
      <xdr:colOff>83820</xdr:colOff>
      <xdr:row>5</xdr:row>
      <xdr:rowOff>76200</xdr:rowOff>
    </xdr:from>
    <xdr:to>
      <xdr:col>13</xdr:col>
      <xdr:colOff>731520</xdr:colOff>
      <xdr:row>9</xdr:row>
      <xdr:rowOff>60960</xdr:rowOff>
    </xdr:to>
    <xdr:sp macro="[0]!Forma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6F3CA64-FF76-4AB5-BD4E-10599C102478}"/>
            </a:ext>
          </a:extLst>
        </xdr:cNvPr>
        <xdr:cNvSpPr/>
      </xdr:nvSpPr>
      <xdr:spPr>
        <a:xfrm>
          <a:off x="9616440" y="998220"/>
          <a:ext cx="1440180" cy="71628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400" b="1"/>
            <a:t>Boton</a:t>
          </a:r>
          <a:r>
            <a:rPr lang="es-SV" sz="1400" b="1" baseline="0"/>
            <a:t> de Formato</a:t>
          </a:r>
          <a:endParaRPr lang="es-SV" sz="1400" b="1"/>
        </a:p>
      </xdr:txBody>
    </xdr:sp>
    <xdr:clientData/>
  </xdr:twoCellAnchor>
  <xdr:twoCellAnchor>
    <xdr:from>
      <xdr:col>14</xdr:col>
      <xdr:colOff>144780</xdr:colOff>
      <xdr:row>3</xdr:row>
      <xdr:rowOff>53340</xdr:rowOff>
    </xdr:from>
    <xdr:to>
      <xdr:col>15</xdr:col>
      <xdr:colOff>632460</xdr:colOff>
      <xdr:row>6</xdr:row>
      <xdr:rowOff>7620</xdr:rowOff>
    </xdr:to>
    <xdr:sp macro="[0]!Limpia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6006315-F5C7-4F12-86CA-9DB9513E5580}"/>
            </a:ext>
          </a:extLst>
        </xdr:cNvPr>
        <xdr:cNvSpPr/>
      </xdr:nvSpPr>
      <xdr:spPr>
        <a:xfrm>
          <a:off x="11262360" y="609600"/>
          <a:ext cx="1280160" cy="50292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400" b="1"/>
            <a:t>LIMPIAR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441960</xdr:colOff>
      <xdr:row>0</xdr:row>
      <xdr:rowOff>106680</xdr:rowOff>
    </xdr:from>
    <xdr:to>
      <xdr:col>7</xdr:col>
      <xdr:colOff>213360</xdr:colOff>
      <xdr:row>3</xdr:row>
      <xdr:rowOff>30480</xdr:rowOff>
    </xdr:to>
    <xdr:sp macro="[0]!MULT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77F2B99-0972-1DC8-849D-4361ECAF568E}"/>
            </a:ext>
          </a:extLst>
        </xdr:cNvPr>
        <xdr:cNvSpPr/>
      </xdr:nvSpPr>
      <xdr:spPr>
        <a:xfrm>
          <a:off x="2011680" y="106680"/>
          <a:ext cx="1356360" cy="47244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400"/>
            <a:t>Multiplicación</a:t>
          </a:r>
        </a:p>
      </xdr:txBody>
    </xdr:sp>
    <xdr:clientData/>
  </xdr:twoCellAnchor>
  <xdr:twoCellAnchor>
    <xdr:from>
      <xdr:col>5</xdr:col>
      <xdr:colOff>419100</xdr:colOff>
      <xdr:row>4</xdr:row>
      <xdr:rowOff>38100</xdr:rowOff>
    </xdr:from>
    <xdr:to>
      <xdr:col>7</xdr:col>
      <xdr:colOff>190500</xdr:colOff>
      <xdr:row>6</xdr:row>
      <xdr:rowOff>144780</xdr:rowOff>
    </xdr:to>
    <xdr:sp macro="[0]!formato_macr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2208A653-C286-4EB7-9FFF-CF5AE073D4D9}"/>
            </a:ext>
          </a:extLst>
        </xdr:cNvPr>
        <xdr:cNvSpPr/>
      </xdr:nvSpPr>
      <xdr:spPr>
        <a:xfrm>
          <a:off x="1988820" y="769620"/>
          <a:ext cx="1356360" cy="47244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400"/>
            <a:t>Formato</a:t>
          </a:r>
        </a:p>
      </xdr:txBody>
    </xdr:sp>
    <xdr:clientData/>
  </xdr:twoCellAnchor>
  <xdr:twoCellAnchor>
    <xdr:from>
      <xdr:col>7</xdr:col>
      <xdr:colOff>411480</xdr:colOff>
      <xdr:row>2</xdr:row>
      <xdr:rowOff>83820</xdr:rowOff>
    </xdr:from>
    <xdr:to>
      <xdr:col>9</xdr:col>
      <xdr:colOff>182880</xdr:colOff>
      <xdr:row>4</xdr:row>
      <xdr:rowOff>175260</xdr:rowOff>
    </xdr:to>
    <xdr:sp macro="[0]!Borra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483C4B5-F3A9-422E-9525-7388AD871427}"/>
            </a:ext>
          </a:extLst>
        </xdr:cNvPr>
        <xdr:cNvSpPr/>
      </xdr:nvSpPr>
      <xdr:spPr>
        <a:xfrm>
          <a:off x="3566160" y="464820"/>
          <a:ext cx="1356360" cy="47244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400"/>
            <a:t>Borrar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662940</xdr:colOff>
      <xdr:row>6</xdr:row>
      <xdr:rowOff>121920</xdr:rowOff>
    </xdr:from>
    <xdr:to>
      <xdr:col>7</xdr:col>
      <xdr:colOff>434340</xdr:colOff>
      <xdr:row>7</xdr:row>
      <xdr:rowOff>152400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9D9CCAB5-D562-9022-604E-3CAD758702AA}"/>
            </a:ext>
          </a:extLst>
        </xdr:cNvPr>
        <xdr:cNvSpPr/>
      </xdr:nvSpPr>
      <xdr:spPr>
        <a:xfrm>
          <a:off x="7330440" y="1242060"/>
          <a:ext cx="1356360" cy="213360"/>
        </a:xfrm>
        <a:prstGeom prst="rect">
          <a:avLst/>
        </a:prstGeom>
        <a:solidFill>
          <a:schemeClr val="bg1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100">
              <a:solidFill>
                <a:sysClr val="windowText" lastClr="000000"/>
              </a:solidFill>
              <a:latin typeface="STHupo" panose="020B0503020204020204" pitchFamily="2" charset="-122"/>
              <a:ea typeface="STHupo" panose="020B0503020204020204" pitchFamily="2" charset="-122"/>
            </a:rPr>
            <a:t>Formato</a:t>
          </a:r>
        </a:p>
      </xdr:txBody>
    </xdr:sp>
    <xdr:clientData/>
  </xdr:twoCellAnchor>
  <xdr:twoCellAnchor>
    <xdr:from>
      <xdr:col>8</xdr:col>
      <xdr:colOff>236220</xdr:colOff>
      <xdr:row>6</xdr:row>
      <xdr:rowOff>106680</xdr:rowOff>
    </xdr:from>
    <xdr:to>
      <xdr:col>10</xdr:col>
      <xdr:colOff>7620</xdr:colOff>
      <xdr:row>7</xdr:row>
      <xdr:rowOff>137160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AE86E761-FB22-462A-A8A8-4114FDD18629}"/>
            </a:ext>
          </a:extLst>
        </xdr:cNvPr>
        <xdr:cNvSpPr/>
      </xdr:nvSpPr>
      <xdr:spPr>
        <a:xfrm>
          <a:off x="9281160" y="1226820"/>
          <a:ext cx="1356360" cy="213360"/>
        </a:xfrm>
        <a:prstGeom prst="rect">
          <a:avLst/>
        </a:prstGeom>
        <a:solidFill>
          <a:sysClr val="window" lastClr="FFFFFF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100">
              <a:solidFill>
                <a:sysClr val="windowText" lastClr="000000"/>
              </a:solidFill>
              <a:latin typeface="STHupo" panose="02010800040101010101" pitchFamily="2" charset="-122"/>
              <a:ea typeface="STHupo" panose="02010800040101010101" pitchFamily="2" charset="-122"/>
            </a:rPr>
            <a:t>Total del IVA</a:t>
          </a:r>
        </a:p>
      </xdr:txBody>
    </xdr:sp>
    <xdr:clientData/>
  </xdr:twoCellAnchor>
  <xdr:twoCellAnchor>
    <xdr:from>
      <xdr:col>8</xdr:col>
      <xdr:colOff>289560</xdr:colOff>
      <xdr:row>14</xdr:row>
      <xdr:rowOff>60960</xdr:rowOff>
    </xdr:from>
    <xdr:to>
      <xdr:col>10</xdr:col>
      <xdr:colOff>60960</xdr:colOff>
      <xdr:row>15</xdr:row>
      <xdr:rowOff>83820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3C50B714-28FC-4F94-9BCC-213CC968E78F}"/>
            </a:ext>
          </a:extLst>
        </xdr:cNvPr>
        <xdr:cNvSpPr/>
      </xdr:nvSpPr>
      <xdr:spPr>
        <a:xfrm>
          <a:off x="9334500" y="2644140"/>
          <a:ext cx="1356360" cy="213360"/>
        </a:xfrm>
        <a:prstGeom prst="rect">
          <a:avLst/>
        </a:prstGeom>
        <a:solidFill>
          <a:sysClr val="window" lastClr="FFFFFF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100">
              <a:solidFill>
                <a:sysClr val="windowText" lastClr="000000"/>
              </a:solidFill>
              <a:latin typeface="STHupo" panose="02010800040101010101" pitchFamily="2" charset="-122"/>
              <a:ea typeface="STHupo" panose="02010800040101010101" pitchFamily="2" charset="-122"/>
            </a:rPr>
            <a:t>Suma total</a:t>
          </a:r>
        </a:p>
      </xdr:txBody>
    </xdr:sp>
    <xdr:clientData/>
  </xdr:twoCellAnchor>
  <xdr:twoCellAnchor>
    <xdr:from>
      <xdr:col>5</xdr:col>
      <xdr:colOff>601980</xdr:colOff>
      <xdr:row>14</xdr:row>
      <xdr:rowOff>60960</xdr:rowOff>
    </xdr:from>
    <xdr:to>
      <xdr:col>7</xdr:col>
      <xdr:colOff>373380</xdr:colOff>
      <xdr:row>15</xdr:row>
      <xdr:rowOff>83820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9A4A6246-3BDA-4FE7-B84A-4BEBCC3AAFA8}"/>
            </a:ext>
          </a:extLst>
        </xdr:cNvPr>
        <xdr:cNvSpPr/>
      </xdr:nvSpPr>
      <xdr:spPr>
        <a:xfrm>
          <a:off x="7269480" y="2644140"/>
          <a:ext cx="1356360" cy="21336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100">
              <a:solidFill>
                <a:sysClr val="windowText" lastClr="000000"/>
              </a:solidFill>
              <a:latin typeface="STHupo" panose="02010800040101010101" pitchFamily="2" charset="-122"/>
              <a:ea typeface="STHupo" panose="02010800040101010101" pitchFamily="2" charset="-122"/>
            </a:rPr>
            <a:t>Suma</a:t>
          </a:r>
          <a:r>
            <a:rPr lang="es-SV" sz="1100" baseline="0">
              <a:solidFill>
                <a:sysClr val="windowText" lastClr="000000"/>
              </a:solidFill>
              <a:latin typeface="STHupo" panose="02010800040101010101" pitchFamily="2" charset="-122"/>
              <a:ea typeface="STHupo" panose="02010800040101010101" pitchFamily="2" charset="-122"/>
            </a:rPr>
            <a:t> del Iva</a:t>
          </a:r>
          <a:endParaRPr lang="es-SV" sz="1100">
            <a:solidFill>
              <a:sysClr val="windowText" lastClr="000000"/>
            </a:solidFill>
            <a:latin typeface="STHupo" panose="02010800040101010101" pitchFamily="2" charset="-122"/>
            <a:ea typeface="STHupo" panose="02010800040101010101" pitchFamily="2" charset="-122"/>
          </a:endParaRPr>
        </a:p>
      </xdr:txBody>
    </xdr:sp>
    <xdr:clientData/>
  </xdr:twoCellAnchor>
  <xdr:twoCellAnchor>
    <xdr:from>
      <xdr:col>6</xdr:col>
      <xdr:colOff>106680</xdr:colOff>
      <xdr:row>2</xdr:row>
      <xdr:rowOff>60960</xdr:rowOff>
    </xdr:from>
    <xdr:to>
      <xdr:col>7</xdr:col>
      <xdr:colOff>198120</xdr:colOff>
      <xdr:row>6</xdr:row>
      <xdr:rowOff>68580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637364D5-6D87-E414-6EB1-67F8525DDB1D}"/>
            </a:ext>
          </a:extLst>
        </xdr:cNvPr>
        <xdr:cNvGrpSpPr/>
      </xdr:nvGrpSpPr>
      <xdr:grpSpPr>
        <a:xfrm>
          <a:off x="7566660" y="441960"/>
          <a:ext cx="883920" cy="746760"/>
          <a:chOff x="7566660" y="441960"/>
          <a:chExt cx="883920" cy="746760"/>
        </a:xfrm>
      </xdr:grpSpPr>
      <xdr:sp macro="[0]!Formato_Tabla" textlink="">
        <xdr:nvSpPr>
          <xdr:cNvPr id="8" name="Elipse 7">
            <a:extLst>
              <a:ext uri="{FF2B5EF4-FFF2-40B4-BE49-F238E27FC236}">
                <a16:creationId xmlns:a16="http://schemas.microsoft.com/office/drawing/2014/main" id="{05AEFED2-1D56-0B8E-1685-E321EE7904E8}"/>
              </a:ext>
            </a:extLst>
          </xdr:cNvPr>
          <xdr:cNvSpPr/>
        </xdr:nvSpPr>
        <xdr:spPr>
          <a:xfrm>
            <a:off x="7566660" y="441960"/>
            <a:ext cx="883920" cy="746760"/>
          </a:xfrm>
          <a:prstGeom prst="ellipse">
            <a:avLst/>
          </a:prstGeom>
          <a:solidFill>
            <a:srgbClr val="FF0000"/>
          </a:solidFill>
          <a:ln>
            <a:solidFill>
              <a:srgbClr val="C00000"/>
            </a:solidFill>
          </a:ln>
          <a:effectLst>
            <a:glow rad="101600">
              <a:srgbClr val="FF0000">
                <a:alpha val="60000"/>
              </a:srgbClr>
            </a:glo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SV" sz="1100"/>
          </a:p>
        </xdr:txBody>
      </xdr:sp>
      <xdr:pic macro="[0]!Formato_Tabla">
        <xdr:nvPicPr>
          <xdr:cNvPr id="17" name="Gráfico 16" descr="Blog con relleno sólido">
            <a:extLst>
              <a:ext uri="{FF2B5EF4-FFF2-40B4-BE49-F238E27FC236}">
                <a16:creationId xmlns:a16="http://schemas.microsoft.com/office/drawing/2014/main" id="{1FACBC1C-017E-5899-65EE-0C49BB87F3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711440" y="502920"/>
            <a:ext cx="640080" cy="64008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91440</xdr:colOff>
      <xdr:row>9</xdr:row>
      <xdr:rowOff>175260</xdr:rowOff>
    </xdr:from>
    <xdr:to>
      <xdr:col>7</xdr:col>
      <xdr:colOff>182880</xdr:colOff>
      <xdr:row>14</xdr:row>
      <xdr:rowOff>7620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04A3CD57-68B4-100C-7AEB-CA1126E9F958}"/>
            </a:ext>
          </a:extLst>
        </xdr:cNvPr>
        <xdr:cNvGrpSpPr/>
      </xdr:nvGrpSpPr>
      <xdr:grpSpPr>
        <a:xfrm>
          <a:off x="7551420" y="1844040"/>
          <a:ext cx="883920" cy="746760"/>
          <a:chOff x="7551420" y="1844040"/>
          <a:chExt cx="883920" cy="746760"/>
        </a:xfrm>
      </xdr:grpSpPr>
      <xdr:sp macro="[0]!SUMA_Total_IVA" textlink="">
        <xdr:nvSpPr>
          <xdr:cNvPr id="11" name="Elipse 10">
            <a:extLst>
              <a:ext uri="{FF2B5EF4-FFF2-40B4-BE49-F238E27FC236}">
                <a16:creationId xmlns:a16="http://schemas.microsoft.com/office/drawing/2014/main" id="{3E38E687-208D-4296-A122-AC1A908AF0B8}"/>
              </a:ext>
            </a:extLst>
          </xdr:cNvPr>
          <xdr:cNvSpPr/>
        </xdr:nvSpPr>
        <xdr:spPr>
          <a:xfrm>
            <a:off x="7551420" y="1844040"/>
            <a:ext cx="883920" cy="746760"/>
          </a:xfrm>
          <a:prstGeom prst="ellipse">
            <a:avLst/>
          </a:prstGeom>
          <a:solidFill>
            <a:srgbClr val="00B0F0"/>
          </a:solidFill>
          <a:ln>
            <a:solidFill>
              <a:srgbClr val="0070C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SV" sz="1100"/>
          </a:p>
        </xdr:txBody>
      </xdr:sp>
      <xdr:pic macro="[0]!SUMA_Total_IVA">
        <xdr:nvPicPr>
          <xdr:cNvPr id="20" name="Gráfico 19" descr="Ábaco con relleno sólido">
            <a:extLst>
              <a:ext uri="{FF2B5EF4-FFF2-40B4-BE49-F238E27FC236}">
                <a16:creationId xmlns:a16="http://schemas.microsoft.com/office/drawing/2014/main" id="{5DB4FA75-0820-D1C7-012B-BC48E02234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703820" y="1912620"/>
            <a:ext cx="579120" cy="5791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464820</xdr:colOff>
      <xdr:row>2</xdr:row>
      <xdr:rowOff>38100</xdr:rowOff>
    </xdr:from>
    <xdr:to>
      <xdr:col>9</xdr:col>
      <xdr:colOff>556260</xdr:colOff>
      <xdr:row>6</xdr:row>
      <xdr:rowOff>45720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B669F450-A6D8-32EB-5234-44DE00BB98B5}"/>
            </a:ext>
          </a:extLst>
        </xdr:cNvPr>
        <xdr:cNvGrpSpPr/>
      </xdr:nvGrpSpPr>
      <xdr:grpSpPr>
        <a:xfrm>
          <a:off x="9509760" y="419100"/>
          <a:ext cx="883920" cy="746760"/>
          <a:chOff x="9509760" y="419100"/>
          <a:chExt cx="883920" cy="746760"/>
        </a:xfrm>
      </xdr:grpSpPr>
      <xdr:sp macro="[0]!Total_IVA" textlink="">
        <xdr:nvSpPr>
          <xdr:cNvPr id="12" name="Elipse 11">
            <a:extLst>
              <a:ext uri="{FF2B5EF4-FFF2-40B4-BE49-F238E27FC236}">
                <a16:creationId xmlns:a16="http://schemas.microsoft.com/office/drawing/2014/main" id="{5567FA67-2B65-40A4-863A-B8AA58AFFD37}"/>
              </a:ext>
            </a:extLst>
          </xdr:cNvPr>
          <xdr:cNvSpPr/>
        </xdr:nvSpPr>
        <xdr:spPr>
          <a:xfrm>
            <a:off x="9509760" y="419100"/>
            <a:ext cx="883920" cy="746760"/>
          </a:xfrm>
          <a:prstGeom prst="ellipse">
            <a:avLst/>
          </a:prstGeom>
          <a:solidFill>
            <a:srgbClr val="92D050"/>
          </a:solidFill>
          <a:ln>
            <a:solidFill>
              <a:srgbClr val="00B05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SV" sz="1100"/>
          </a:p>
        </xdr:txBody>
      </xdr:sp>
      <xdr:pic macro="[0]!Total_IVA">
        <xdr:nvPicPr>
          <xdr:cNvPr id="22" name="Gráfico 21" descr="Matemáticas con relleno sólido">
            <a:extLst>
              <a:ext uri="{FF2B5EF4-FFF2-40B4-BE49-F238E27FC236}">
                <a16:creationId xmlns:a16="http://schemas.microsoft.com/office/drawing/2014/main" id="{FDED1EC6-EC0C-E064-3592-1BB9268065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9685020" y="518160"/>
            <a:ext cx="561480" cy="56148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510540</xdr:colOff>
      <xdr:row>9</xdr:row>
      <xdr:rowOff>160020</xdr:rowOff>
    </xdr:from>
    <xdr:to>
      <xdr:col>9</xdr:col>
      <xdr:colOff>601980</xdr:colOff>
      <xdr:row>13</xdr:row>
      <xdr:rowOff>175260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E09E63B1-D103-C392-F812-71BE18B38694}"/>
            </a:ext>
          </a:extLst>
        </xdr:cNvPr>
        <xdr:cNvGrpSpPr/>
      </xdr:nvGrpSpPr>
      <xdr:grpSpPr>
        <a:xfrm>
          <a:off x="9555480" y="1828800"/>
          <a:ext cx="883920" cy="746760"/>
          <a:chOff x="9555480" y="1828800"/>
          <a:chExt cx="883920" cy="746760"/>
        </a:xfrm>
      </xdr:grpSpPr>
      <xdr:sp macro="[0]!SUMA_TOTAL_BCD" textlink="">
        <xdr:nvSpPr>
          <xdr:cNvPr id="10" name="Elipse 9">
            <a:extLst>
              <a:ext uri="{FF2B5EF4-FFF2-40B4-BE49-F238E27FC236}">
                <a16:creationId xmlns:a16="http://schemas.microsoft.com/office/drawing/2014/main" id="{17CCDF53-DBCC-4BAD-9EA7-2609A2A4F126}"/>
              </a:ext>
            </a:extLst>
          </xdr:cNvPr>
          <xdr:cNvSpPr/>
        </xdr:nvSpPr>
        <xdr:spPr>
          <a:xfrm>
            <a:off x="9555480" y="1828800"/>
            <a:ext cx="883920" cy="746760"/>
          </a:xfrm>
          <a:prstGeom prst="ellipse">
            <a:avLst/>
          </a:prstGeom>
          <a:solidFill>
            <a:srgbClr val="8F8FFF"/>
          </a:solidFill>
          <a:ln>
            <a:solidFill>
              <a:srgbClr val="7030A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SV" sz="1100"/>
          </a:p>
        </xdr:txBody>
      </xdr:sp>
      <xdr:pic macro="[0]!SUMA_TOTAL_BCD">
        <xdr:nvPicPr>
          <xdr:cNvPr id="24" name="Gráfico 23" descr="Aprendizaje remoto de matemáticas con relleno sólido">
            <a:extLst>
              <a:ext uri="{FF2B5EF4-FFF2-40B4-BE49-F238E27FC236}">
                <a16:creationId xmlns:a16="http://schemas.microsoft.com/office/drawing/2014/main" id="{B2FCB67B-B307-E067-41EB-48076FDA68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692640" y="1882140"/>
            <a:ext cx="632460" cy="63246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83820</xdr:rowOff>
    </xdr:from>
    <xdr:to>
      <xdr:col>1</xdr:col>
      <xdr:colOff>99060</xdr:colOff>
      <xdr:row>9</xdr:row>
      <xdr:rowOff>7620</xdr:rowOff>
    </xdr:to>
    <xdr:sp macro="[0]!Algeria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A8477DA-C1A2-E9D5-9674-C9144B5BF10C}"/>
            </a:ext>
          </a:extLst>
        </xdr:cNvPr>
        <xdr:cNvSpPr/>
      </xdr:nvSpPr>
      <xdr:spPr>
        <a:xfrm>
          <a:off x="0" y="1181100"/>
          <a:ext cx="1562100" cy="472440"/>
        </a:xfrm>
        <a:prstGeom prst="roundRect">
          <a:avLst/>
        </a:prstGeom>
        <a:solidFill>
          <a:srgbClr val="FF0000"/>
        </a:solidFill>
        <a:ln>
          <a:solidFill>
            <a:srgbClr val="C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600">
              <a:solidFill>
                <a:schemeClr val="bg1"/>
              </a:solidFill>
              <a:latin typeface="Algerian" panose="04020705040A02060702" pitchFamily="82" charset="0"/>
            </a:rPr>
            <a:t>ALGERIAN</a:t>
          </a:r>
          <a:endParaRPr lang="es-SV" sz="1100">
            <a:solidFill>
              <a:schemeClr val="bg1"/>
            </a:solidFill>
            <a:latin typeface="Algerian" panose="04020705040A02060702" pitchFamily="82" charset="0"/>
          </a:endParaRPr>
        </a:p>
      </xdr:txBody>
    </xdr:sp>
    <xdr:clientData/>
  </xdr:twoCellAnchor>
  <xdr:twoCellAnchor>
    <xdr:from>
      <xdr:col>1</xdr:col>
      <xdr:colOff>381000</xdr:colOff>
      <xdr:row>6</xdr:row>
      <xdr:rowOff>76200</xdr:rowOff>
    </xdr:from>
    <xdr:to>
      <xdr:col>2</xdr:col>
      <xdr:colOff>495300</xdr:colOff>
      <xdr:row>9</xdr:row>
      <xdr:rowOff>0</xdr:rowOff>
    </xdr:to>
    <xdr:sp macro="[0]!HarlowSolidItalic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043D0EA-4A6A-419C-A248-680184D96151}"/>
            </a:ext>
          </a:extLst>
        </xdr:cNvPr>
        <xdr:cNvSpPr/>
      </xdr:nvSpPr>
      <xdr:spPr>
        <a:xfrm>
          <a:off x="1844040" y="1173480"/>
          <a:ext cx="1562100" cy="472440"/>
        </a:xfrm>
        <a:prstGeom prst="roundRect">
          <a:avLst/>
        </a:prstGeom>
        <a:solidFill>
          <a:srgbClr val="0000FF"/>
        </a:solidFill>
        <a:ln>
          <a:solidFill>
            <a:srgbClr val="0000B8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100">
              <a:latin typeface="Harlow Solid Italic" panose="04030604020F02020D02" pitchFamily="82" charset="0"/>
            </a:rPr>
            <a:t>Harlow Solid Italic</a:t>
          </a:r>
        </a:p>
      </xdr:txBody>
    </xdr:sp>
    <xdr:clientData/>
  </xdr:twoCellAnchor>
  <xdr:twoCellAnchor>
    <xdr:from>
      <xdr:col>2</xdr:col>
      <xdr:colOff>723900</xdr:colOff>
      <xdr:row>6</xdr:row>
      <xdr:rowOff>91440</xdr:rowOff>
    </xdr:from>
    <xdr:to>
      <xdr:col>3</xdr:col>
      <xdr:colOff>1051560</xdr:colOff>
      <xdr:row>9</xdr:row>
      <xdr:rowOff>15240</xdr:rowOff>
    </xdr:to>
    <xdr:sp macro="[0]!InkFre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BD19767E-1122-4A7C-A386-9F5B5579D54D}"/>
            </a:ext>
          </a:extLst>
        </xdr:cNvPr>
        <xdr:cNvSpPr/>
      </xdr:nvSpPr>
      <xdr:spPr>
        <a:xfrm>
          <a:off x="3634740" y="1188720"/>
          <a:ext cx="1562100" cy="472440"/>
        </a:xfrm>
        <a:prstGeom prst="roundRect">
          <a:avLst/>
        </a:prstGeom>
        <a:solidFill>
          <a:srgbClr val="FFFF00"/>
        </a:solidFill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400" u="none" strike="noStrike" baseline="0">
              <a:solidFill>
                <a:sysClr val="windowText" lastClr="000000"/>
              </a:solidFill>
              <a:latin typeface="Ink Free" panose="03080402000500000000" pitchFamily="66" charset="0"/>
            </a:rPr>
            <a:t>Ink Free</a:t>
          </a:r>
        </a:p>
      </xdr:txBody>
    </xdr:sp>
    <xdr:clientData/>
  </xdr:twoCellAnchor>
  <xdr:twoCellAnchor>
    <xdr:from>
      <xdr:col>3</xdr:col>
      <xdr:colOff>1333500</xdr:colOff>
      <xdr:row>6</xdr:row>
      <xdr:rowOff>76200</xdr:rowOff>
    </xdr:from>
    <xdr:to>
      <xdr:col>5</xdr:col>
      <xdr:colOff>723900</xdr:colOff>
      <xdr:row>9</xdr:row>
      <xdr:rowOff>0</xdr:rowOff>
    </xdr:to>
    <xdr:sp macro="[0]!SnapITC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CC8104DF-09BB-4253-8DDF-0002D85561C1}"/>
            </a:ext>
          </a:extLst>
        </xdr:cNvPr>
        <xdr:cNvSpPr/>
      </xdr:nvSpPr>
      <xdr:spPr>
        <a:xfrm>
          <a:off x="5478780" y="1173480"/>
          <a:ext cx="1562100" cy="472440"/>
        </a:xfrm>
        <a:prstGeom prst="roundRect">
          <a:avLst/>
        </a:prstGeom>
        <a:solidFill>
          <a:srgbClr val="00B050"/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100" u="none" strike="noStrike" baseline="0">
              <a:latin typeface="Snap ITC" panose="04040A07060A02020202" pitchFamily="82" charset="0"/>
            </a:rPr>
            <a:t>Snap ITC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rick Velasquez" id="{BD9EFE8E-5E00-4300-B743-73143CD81F92}" userId="858fefaadc9669f3" providerId="Windows Live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09-29T17:15:05.90" personId="{BD9EFE8E-5E00-4300-B743-73143CD81F92}" id="{4CFFA060-0D7D-4BE3-8BEF-75B0BEFD780D}">
    <text xml:space="preserve">Esta macro esta hecha para conocer el total de ganancias de un producto por su precio y su numero de ventas, puesto que no conozco que parámetros exactos se usan para calcular dicha cantidad lo reduje a lo mas simple posible. 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B4FA0-FB51-4CAB-BAB1-7A40373BEDF9}">
  <sheetPr codeName="Hoja1"/>
  <dimension ref="A1:K14"/>
  <sheetViews>
    <sheetView workbookViewId="0">
      <selection activeCell="L17" sqref="L17"/>
    </sheetView>
  </sheetViews>
  <sheetFormatPr baseColWidth="10" defaultRowHeight="14.4" x14ac:dyDescent="0.3"/>
  <cols>
    <col min="2" max="2" width="11.88671875" bestFit="1" customWidth="1"/>
  </cols>
  <sheetData>
    <row r="1" spans="1:11" ht="15" thickBot="1" x14ac:dyDescent="0.35">
      <c r="A1" s="19" t="s">
        <v>0</v>
      </c>
      <c r="B1" s="20">
        <v>1</v>
      </c>
      <c r="C1" s="21">
        <v>2</v>
      </c>
      <c r="D1" s="21">
        <v>3</v>
      </c>
      <c r="E1" s="21">
        <v>4</v>
      </c>
      <c r="F1" s="21">
        <v>5</v>
      </c>
      <c r="G1" s="21">
        <v>6</v>
      </c>
      <c r="H1" s="21">
        <v>7</v>
      </c>
      <c r="I1" s="21">
        <v>8</v>
      </c>
      <c r="J1" s="21">
        <v>9</v>
      </c>
      <c r="K1" s="22">
        <v>10</v>
      </c>
    </row>
    <row r="2" spans="1:11" x14ac:dyDescent="0.3">
      <c r="A2" s="23">
        <v>1</v>
      </c>
      <c r="B2" s="26">
        <f>A2*$B$1</f>
        <v>1</v>
      </c>
      <c r="C2" s="26">
        <f>A2*$C$1</f>
        <v>2</v>
      </c>
      <c r="D2" s="26">
        <f>A2*$D$1</f>
        <v>3</v>
      </c>
      <c r="E2" s="26">
        <f>B2*$E$1</f>
        <v>4</v>
      </c>
      <c r="F2" s="26">
        <f>A2*$F$1</f>
        <v>5</v>
      </c>
      <c r="G2" s="26">
        <f>A2*$G$1</f>
        <v>6</v>
      </c>
      <c r="H2" s="26">
        <f>A2*$H$1</f>
        <v>7</v>
      </c>
      <c r="I2" s="26">
        <f>A2*$I$1</f>
        <v>8</v>
      </c>
      <c r="J2" s="26">
        <f>A2*$J$1</f>
        <v>9</v>
      </c>
      <c r="K2" s="26">
        <f>A2*$K$1</f>
        <v>10</v>
      </c>
    </row>
    <row r="3" spans="1:11" x14ac:dyDescent="0.3">
      <c r="A3" s="24">
        <v>2</v>
      </c>
      <c r="B3" s="27">
        <f t="shared" ref="B3:B11" si="0">A3*$B$1</f>
        <v>2</v>
      </c>
      <c r="C3" s="27">
        <f t="shared" ref="C3:C11" si="1">A3*$C$1</f>
        <v>4</v>
      </c>
      <c r="D3" s="27">
        <f t="shared" ref="D3:D11" si="2">A3*$D$1</f>
        <v>6</v>
      </c>
      <c r="E3" s="27">
        <f t="shared" ref="E3:E11" si="3">B3*$E$1</f>
        <v>8</v>
      </c>
      <c r="F3" s="27">
        <f t="shared" ref="F3:F11" si="4">A3*$F$1</f>
        <v>10</v>
      </c>
      <c r="G3" s="27">
        <f t="shared" ref="G3:G11" si="5">A3*$G$1</f>
        <v>12</v>
      </c>
      <c r="H3" s="27">
        <f t="shared" ref="H3:H11" si="6">A3*$H$1</f>
        <v>14</v>
      </c>
      <c r="I3" s="27">
        <f t="shared" ref="I3:I11" si="7">A3*$I$1</f>
        <v>16</v>
      </c>
      <c r="J3" s="27">
        <f t="shared" ref="J3:J11" si="8">A3*$J$1</f>
        <v>18</v>
      </c>
      <c r="K3" s="27">
        <f t="shared" ref="K3:K11" si="9">A3*$K$1</f>
        <v>20</v>
      </c>
    </row>
    <row r="4" spans="1:11" x14ac:dyDescent="0.3">
      <c r="A4" s="24">
        <v>3</v>
      </c>
      <c r="B4" s="26">
        <f t="shared" si="0"/>
        <v>3</v>
      </c>
      <c r="C4" s="26">
        <f t="shared" si="1"/>
        <v>6</v>
      </c>
      <c r="D4" s="26">
        <f t="shared" si="2"/>
        <v>9</v>
      </c>
      <c r="E4" s="26">
        <f t="shared" si="3"/>
        <v>12</v>
      </c>
      <c r="F4" s="26">
        <f t="shared" si="4"/>
        <v>15</v>
      </c>
      <c r="G4" s="26">
        <f t="shared" si="5"/>
        <v>18</v>
      </c>
      <c r="H4" s="26">
        <f t="shared" si="6"/>
        <v>21</v>
      </c>
      <c r="I4" s="26">
        <f t="shared" si="7"/>
        <v>24</v>
      </c>
      <c r="J4" s="26">
        <f t="shared" si="8"/>
        <v>27</v>
      </c>
      <c r="K4" s="26">
        <f t="shared" si="9"/>
        <v>30</v>
      </c>
    </row>
    <row r="5" spans="1:11" x14ac:dyDescent="0.3">
      <c r="A5" s="24">
        <v>4</v>
      </c>
      <c r="B5" s="27"/>
      <c r="C5" s="27">
        <f t="shared" si="1"/>
        <v>8</v>
      </c>
      <c r="D5" s="27">
        <f t="shared" si="2"/>
        <v>12</v>
      </c>
      <c r="E5" s="27">
        <f t="shared" si="3"/>
        <v>0</v>
      </c>
      <c r="F5" s="27">
        <f t="shared" si="4"/>
        <v>20</v>
      </c>
      <c r="G5" s="27">
        <f t="shared" si="5"/>
        <v>24</v>
      </c>
      <c r="H5" s="27">
        <f t="shared" si="6"/>
        <v>28</v>
      </c>
      <c r="I5" s="27">
        <f t="shared" si="7"/>
        <v>32</v>
      </c>
      <c r="J5" s="27">
        <f t="shared" si="8"/>
        <v>36</v>
      </c>
      <c r="K5" s="27">
        <f t="shared" si="9"/>
        <v>40</v>
      </c>
    </row>
    <row r="6" spans="1:11" x14ac:dyDescent="0.3">
      <c r="A6" s="24">
        <v>5</v>
      </c>
      <c r="B6" s="26">
        <f t="shared" si="0"/>
        <v>5</v>
      </c>
      <c r="C6" s="26">
        <f t="shared" si="1"/>
        <v>10</v>
      </c>
      <c r="D6" s="26">
        <f t="shared" si="2"/>
        <v>15</v>
      </c>
      <c r="E6" s="26">
        <f t="shared" si="3"/>
        <v>20</v>
      </c>
      <c r="F6" s="26">
        <f t="shared" si="4"/>
        <v>25</v>
      </c>
      <c r="G6" s="26">
        <f t="shared" si="5"/>
        <v>30</v>
      </c>
      <c r="H6" s="26">
        <f t="shared" si="6"/>
        <v>35</v>
      </c>
      <c r="I6" s="26">
        <f t="shared" si="7"/>
        <v>40</v>
      </c>
      <c r="J6" s="26">
        <f t="shared" si="8"/>
        <v>45</v>
      </c>
      <c r="K6" s="26">
        <f t="shared" si="9"/>
        <v>50</v>
      </c>
    </row>
    <row r="7" spans="1:11" x14ac:dyDescent="0.3">
      <c r="A7" s="24">
        <v>6</v>
      </c>
      <c r="B7" s="27">
        <f t="shared" si="0"/>
        <v>6</v>
      </c>
      <c r="C7" s="27">
        <f t="shared" si="1"/>
        <v>12</v>
      </c>
      <c r="D7" s="27">
        <f t="shared" si="2"/>
        <v>18</v>
      </c>
      <c r="E7" s="27">
        <f t="shared" si="3"/>
        <v>24</v>
      </c>
      <c r="F7" s="27">
        <f t="shared" si="4"/>
        <v>30</v>
      </c>
      <c r="G7" s="27">
        <f t="shared" si="5"/>
        <v>36</v>
      </c>
      <c r="H7" s="27">
        <f t="shared" si="6"/>
        <v>42</v>
      </c>
      <c r="I7" s="27">
        <f t="shared" si="7"/>
        <v>48</v>
      </c>
      <c r="J7" s="27">
        <f t="shared" si="8"/>
        <v>54</v>
      </c>
      <c r="K7" s="27">
        <f t="shared" si="9"/>
        <v>60</v>
      </c>
    </row>
    <row r="8" spans="1:11" x14ac:dyDescent="0.3">
      <c r="A8" s="24">
        <v>7</v>
      </c>
      <c r="B8" s="26">
        <f t="shared" si="0"/>
        <v>7</v>
      </c>
      <c r="C8" s="26">
        <f t="shared" si="1"/>
        <v>14</v>
      </c>
      <c r="D8" s="26">
        <f t="shared" si="2"/>
        <v>21</v>
      </c>
      <c r="E8" s="26">
        <f t="shared" si="3"/>
        <v>28</v>
      </c>
      <c r="F8" s="26">
        <f t="shared" si="4"/>
        <v>35</v>
      </c>
      <c r="G8" s="26">
        <f t="shared" si="5"/>
        <v>42</v>
      </c>
      <c r="H8" s="26">
        <f t="shared" si="6"/>
        <v>49</v>
      </c>
      <c r="I8" s="26">
        <f t="shared" si="7"/>
        <v>56</v>
      </c>
      <c r="J8" s="26">
        <f t="shared" si="8"/>
        <v>63</v>
      </c>
      <c r="K8" s="26">
        <f t="shared" si="9"/>
        <v>70</v>
      </c>
    </row>
    <row r="9" spans="1:11" x14ac:dyDescent="0.3">
      <c r="A9" s="24">
        <v>8</v>
      </c>
      <c r="B9" s="27"/>
      <c r="C9" s="27">
        <f t="shared" si="1"/>
        <v>16</v>
      </c>
      <c r="D9" s="27">
        <f t="shared" si="2"/>
        <v>24</v>
      </c>
      <c r="E9" s="27">
        <f t="shared" si="3"/>
        <v>0</v>
      </c>
      <c r="F9" s="27">
        <f t="shared" si="4"/>
        <v>40</v>
      </c>
      <c r="G9" s="27">
        <f t="shared" si="5"/>
        <v>48</v>
      </c>
      <c r="H9" s="27">
        <f t="shared" si="6"/>
        <v>56</v>
      </c>
      <c r="I9" s="27">
        <f t="shared" si="7"/>
        <v>64</v>
      </c>
      <c r="J9" s="27">
        <f t="shared" si="8"/>
        <v>72</v>
      </c>
      <c r="K9" s="27">
        <f t="shared" si="9"/>
        <v>80</v>
      </c>
    </row>
    <row r="10" spans="1:11" x14ac:dyDescent="0.3">
      <c r="A10" s="24">
        <v>9</v>
      </c>
      <c r="B10" s="26">
        <f t="shared" si="0"/>
        <v>9</v>
      </c>
      <c r="C10" s="26">
        <f t="shared" si="1"/>
        <v>18</v>
      </c>
      <c r="D10" s="26">
        <f t="shared" si="2"/>
        <v>27</v>
      </c>
      <c r="E10" s="26">
        <f t="shared" si="3"/>
        <v>36</v>
      </c>
      <c r="F10" s="26">
        <f t="shared" si="4"/>
        <v>45</v>
      </c>
      <c r="G10" s="26">
        <f t="shared" si="5"/>
        <v>54</v>
      </c>
      <c r="H10" s="26">
        <f t="shared" si="6"/>
        <v>63</v>
      </c>
      <c r="I10" s="26">
        <f t="shared" si="7"/>
        <v>72</v>
      </c>
      <c r="J10" s="26">
        <f t="shared" si="8"/>
        <v>81</v>
      </c>
      <c r="K10" s="26">
        <f t="shared" si="9"/>
        <v>90</v>
      </c>
    </row>
    <row r="11" spans="1:11" ht="15" thickBot="1" x14ac:dyDescent="0.35">
      <c r="A11" s="25">
        <v>10</v>
      </c>
      <c r="B11" s="27">
        <f t="shared" si="0"/>
        <v>10</v>
      </c>
      <c r="C11" s="27">
        <f t="shared" si="1"/>
        <v>20</v>
      </c>
      <c r="D11" s="27">
        <f t="shared" si="2"/>
        <v>30</v>
      </c>
      <c r="E11" s="27">
        <f t="shared" si="3"/>
        <v>40</v>
      </c>
      <c r="F11" s="27">
        <f t="shared" si="4"/>
        <v>50</v>
      </c>
      <c r="G11" s="27">
        <f t="shared" si="5"/>
        <v>60</v>
      </c>
      <c r="H11" s="27">
        <f t="shared" si="6"/>
        <v>70</v>
      </c>
      <c r="I11" s="27">
        <f t="shared" si="7"/>
        <v>80</v>
      </c>
      <c r="J11" s="27">
        <f t="shared" si="8"/>
        <v>90</v>
      </c>
      <c r="K11" s="27">
        <f t="shared" si="9"/>
        <v>100</v>
      </c>
    </row>
    <row r="13" spans="1:11" x14ac:dyDescent="0.3">
      <c r="A13" s="72" t="s">
        <v>1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</row>
    <row r="14" spans="1:11" x14ac:dyDescent="0.3">
      <c r="A14" s="2" t="s">
        <v>2</v>
      </c>
      <c r="B14" s="2"/>
      <c r="C14" s="2"/>
      <c r="D14" s="2"/>
      <c r="E14" s="2"/>
      <c r="F14" s="2"/>
      <c r="G14" s="2"/>
      <c r="H14" s="2"/>
      <c r="I14" s="2"/>
      <c r="J14" s="2"/>
      <c r="K14" s="2"/>
    </row>
  </sheetData>
  <mergeCells count="1">
    <mergeCell ref="A13:K1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D25F-FC76-4127-A738-DA6208C99B35}">
  <sheetPr codeName="Hoja2"/>
  <dimension ref="A1:E15"/>
  <sheetViews>
    <sheetView workbookViewId="0">
      <selection activeCell="G9" sqref="G9"/>
    </sheetView>
  </sheetViews>
  <sheetFormatPr baseColWidth="10" defaultRowHeight="14.4" x14ac:dyDescent="0.3"/>
  <cols>
    <col min="1" max="1" width="3.6640625" customWidth="1"/>
    <col min="2" max="2" width="3.5546875" customWidth="1"/>
    <col min="3" max="3" width="3.88671875" style="1" customWidth="1"/>
    <col min="4" max="4" width="4.109375" customWidth="1"/>
    <col min="5" max="5" width="7.6640625" style="4" customWidth="1"/>
  </cols>
  <sheetData>
    <row r="1" spans="1:5" ht="15" thickBot="1" x14ac:dyDescent="0.35">
      <c r="A1" s="28"/>
      <c r="B1" s="29" t="s">
        <v>3</v>
      </c>
      <c r="C1" s="29">
        <v>1</v>
      </c>
      <c r="D1" s="30" t="s">
        <v>5</v>
      </c>
      <c r="E1" s="31"/>
    </row>
    <row r="2" spans="1:5" ht="15" thickBot="1" x14ac:dyDescent="0.35">
      <c r="A2" s="28"/>
      <c r="B2" s="29" t="s">
        <v>3</v>
      </c>
      <c r="C2" s="29">
        <v>2</v>
      </c>
      <c r="D2" s="30" t="s">
        <v>5</v>
      </c>
      <c r="E2" s="31"/>
    </row>
    <row r="3" spans="1:5" ht="15" thickBot="1" x14ac:dyDescent="0.35">
      <c r="A3" s="28"/>
      <c r="B3" s="29" t="s">
        <v>3</v>
      </c>
      <c r="C3" s="32">
        <v>3</v>
      </c>
      <c r="D3" s="30" t="s">
        <v>5</v>
      </c>
      <c r="E3" s="31"/>
    </row>
    <row r="4" spans="1:5" ht="15" thickBot="1" x14ac:dyDescent="0.35">
      <c r="A4" s="28"/>
      <c r="B4" s="29" t="s">
        <v>3</v>
      </c>
      <c r="C4" s="32">
        <v>4</v>
      </c>
      <c r="D4" s="30" t="s">
        <v>5</v>
      </c>
      <c r="E4" s="31"/>
    </row>
    <row r="5" spans="1:5" ht="15" thickBot="1" x14ac:dyDescent="0.35">
      <c r="A5" s="28"/>
      <c r="B5" s="29" t="s">
        <v>3</v>
      </c>
      <c r="C5" s="32">
        <v>5</v>
      </c>
      <c r="D5" s="30" t="s">
        <v>5</v>
      </c>
      <c r="E5" s="31"/>
    </row>
    <row r="6" spans="1:5" ht="15" thickBot="1" x14ac:dyDescent="0.35">
      <c r="A6" s="28"/>
      <c r="B6" s="29" t="s">
        <v>3</v>
      </c>
      <c r="C6" s="32">
        <v>6</v>
      </c>
      <c r="D6" s="30" t="s">
        <v>5</v>
      </c>
      <c r="E6" s="31"/>
    </row>
    <row r="7" spans="1:5" ht="15" thickBot="1" x14ac:dyDescent="0.35">
      <c r="A7" s="28"/>
      <c r="B7" s="29" t="s">
        <v>3</v>
      </c>
      <c r="C7" s="32">
        <v>7</v>
      </c>
      <c r="D7" s="30" t="s">
        <v>5</v>
      </c>
      <c r="E7" s="31"/>
    </row>
    <row r="8" spans="1:5" ht="15" thickBot="1" x14ac:dyDescent="0.35">
      <c r="A8" s="28"/>
      <c r="B8" s="29" t="s">
        <v>3</v>
      </c>
      <c r="C8" s="32">
        <v>8</v>
      </c>
      <c r="D8" s="30" t="s">
        <v>5</v>
      </c>
      <c r="E8" s="31"/>
    </row>
    <row r="9" spans="1:5" ht="15" thickBot="1" x14ac:dyDescent="0.35">
      <c r="A9" s="28"/>
      <c r="B9" s="29" t="s">
        <v>3</v>
      </c>
      <c r="C9" s="32">
        <v>9</v>
      </c>
      <c r="D9" s="30" t="s">
        <v>5</v>
      </c>
      <c r="E9" s="31"/>
    </row>
    <row r="10" spans="1:5" ht="15" thickBot="1" x14ac:dyDescent="0.35">
      <c r="A10" s="28"/>
      <c r="B10" s="29" t="s">
        <v>3</v>
      </c>
      <c r="C10" s="33">
        <v>10</v>
      </c>
      <c r="D10" s="30" t="s">
        <v>5</v>
      </c>
      <c r="E10" s="31"/>
    </row>
    <row r="11" spans="1:5" ht="15" thickBot="1" x14ac:dyDescent="0.35">
      <c r="D11" s="3"/>
    </row>
    <row r="12" spans="1:5" ht="15" thickBot="1" x14ac:dyDescent="0.35">
      <c r="D12" s="6" t="s">
        <v>4</v>
      </c>
      <c r="E12" s="5"/>
    </row>
    <row r="14" spans="1:5" x14ac:dyDescent="0.3">
      <c r="A14" t="s">
        <v>6</v>
      </c>
    </row>
    <row r="15" spans="1:5" x14ac:dyDescent="0.3">
      <c r="A15" t="s">
        <v>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E6446-E0FF-4236-9436-548D83BBD6AA}">
  <sheetPr codeName="Hoja3"/>
  <dimension ref="A1:E25"/>
  <sheetViews>
    <sheetView tabSelected="1" topLeftCell="A2" workbookViewId="0">
      <selection activeCell="E3" sqref="E3:E15"/>
    </sheetView>
  </sheetViews>
  <sheetFormatPr baseColWidth="10" defaultRowHeight="14.4" x14ac:dyDescent="0.3"/>
  <cols>
    <col min="1" max="1" width="33" customWidth="1"/>
    <col min="2" max="4" width="16.88671875" customWidth="1"/>
    <col min="5" max="5" width="13.5546875" customWidth="1"/>
  </cols>
  <sheetData>
    <row r="1" spans="1:5" ht="15" thickBot="1" x14ac:dyDescent="0.35">
      <c r="A1" s="66" t="s">
        <v>8</v>
      </c>
      <c r="B1" s="42" t="s">
        <v>27</v>
      </c>
      <c r="C1" s="43"/>
      <c r="D1" s="43"/>
      <c r="E1" s="56"/>
    </row>
    <row r="2" spans="1:5" ht="15" thickBot="1" x14ac:dyDescent="0.35">
      <c r="A2" s="44" t="s">
        <v>9</v>
      </c>
      <c r="B2" s="45" t="s">
        <v>10</v>
      </c>
      <c r="C2" s="58" t="s">
        <v>11</v>
      </c>
      <c r="D2" s="67" t="s">
        <v>12</v>
      </c>
      <c r="E2" s="59" t="s">
        <v>29</v>
      </c>
    </row>
    <row r="3" spans="1:5" ht="15" thickTop="1" x14ac:dyDescent="0.3">
      <c r="A3" s="46" t="s">
        <v>13</v>
      </c>
      <c r="B3" s="49">
        <v>500</v>
      </c>
      <c r="C3" s="53">
        <v>0.15</v>
      </c>
      <c r="D3" s="68">
        <f t="shared" ref="D3:D15" si="0">B3*C3</f>
        <v>75</v>
      </c>
      <c r="E3" s="57">
        <f>B3*$B$19*C3</f>
        <v>9.75</v>
      </c>
    </row>
    <row r="4" spans="1:5" x14ac:dyDescent="0.3">
      <c r="A4" s="47" t="s">
        <v>14</v>
      </c>
      <c r="B4" s="50">
        <v>2347</v>
      </c>
      <c r="C4" s="54">
        <v>1.8</v>
      </c>
      <c r="D4" s="69">
        <f t="shared" si="0"/>
        <v>4224.6000000000004</v>
      </c>
      <c r="E4" s="57">
        <f t="shared" ref="E4:E15" si="1">B4*$B$19*C4</f>
        <v>549.19800000000009</v>
      </c>
    </row>
    <row r="5" spans="1:5" x14ac:dyDescent="0.3">
      <c r="A5" s="47" t="s">
        <v>15</v>
      </c>
      <c r="B5" s="50">
        <v>260</v>
      </c>
      <c r="C5" s="54">
        <v>1.9</v>
      </c>
      <c r="D5" s="69">
        <f t="shared" si="0"/>
        <v>494</v>
      </c>
      <c r="E5" s="57">
        <f t="shared" si="1"/>
        <v>64.22</v>
      </c>
    </row>
    <row r="6" spans="1:5" x14ac:dyDescent="0.3">
      <c r="A6" s="47" t="s">
        <v>16</v>
      </c>
      <c r="B6" s="50">
        <v>230</v>
      </c>
      <c r="C6" s="54">
        <v>1.7</v>
      </c>
      <c r="D6" s="69">
        <f t="shared" si="0"/>
        <v>391</v>
      </c>
      <c r="E6" s="57">
        <f t="shared" si="1"/>
        <v>50.830000000000005</v>
      </c>
    </row>
    <row r="7" spans="1:5" x14ac:dyDescent="0.3">
      <c r="A7" s="47" t="s">
        <v>17</v>
      </c>
      <c r="B7" s="50">
        <v>700</v>
      </c>
      <c r="C7" s="54">
        <v>6</v>
      </c>
      <c r="D7" s="69">
        <f t="shared" si="0"/>
        <v>4200</v>
      </c>
      <c r="E7" s="57">
        <f t="shared" si="1"/>
        <v>546</v>
      </c>
    </row>
    <row r="8" spans="1:5" x14ac:dyDescent="0.3">
      <c r="A8" s="47" t="s">
        <v>18</v>
      </c>
      <c r="B8" s="50">
        <v>3500</v>
      </c>
      <c r="C8" s="54">
        <v>0.2</v>
      </c>
      <c r="D8" s="69">
        <f t="shared" si="0"/>
        <v>700</v>
      </c>
      <c r="E8" s="57">
        <f t="shared" si="1"/>
        <v>91</v>
      </c>
    </row>
    <row r="9" spans="1:5" x14ac:dyDescent="0.3">
      <c r="A9" s="47" t="s">
        <v>19</v>
      </c>
      <c r="B9" s="50">
        <v>7000</v>
      </c>
      <c r="C9" s="54">
        <v>0.1</v>
      </c>
      <c r="D9" s="69">
        <f t="shared" si="0"/>
        <v>700</v>
      </c>
      <c r="E9" s="57">
        <f t="shared" si="1"/>
        <v>91</v>
      </c>
    </row>
    <row r="10" spans="1:5" x14ac:dyDescent="0.3">
      <c r="A10" s="47" t="s">
        <v>20</v>
      </c>
      <c r="B10" s="51">
        <v>750</v>
      </c>
      <c r="C10" s="54">
        <v>1.7</v>
      </c>
      <c r="D10" s="69">
        <f t="shared" si="0"/>
        <v>1275</v>
      </c>
      <c r="E10" s="57">
        <f t="shared" si="1"/>
        <v>165.75</v>
      </c>
    </row>
    <row r="11" spans="1:5" x14ac:dyDescent="0.3">
      <c r="A11" s="47" t="s">
        <v>21</v>
      </c>
      <c r="B11" s="50">
        <v>980</v>
      </c>
      <c r="C11" s="54">
        <v>3</v>
      </c>
      <c r="D11" s="69">
        <f t="shared" si="0"/>
        <v>2940</v>
      </c>
      <c r="E11" s="57">
        <f t="shared" si="1"/>
        <v>382.20000000000005</v>
      </c>
    </row>
    <row r="12" spans="1:5" x14ac:dyDescent="0.3">
      <c r="A12" s="47" t="s">
        <v>22</v>
      </c>
      <c r="B12" s="50">
        <v>752</v>
      </c>
      <c r="C12" s="54">
        <v>3</v>
      </c>
      <c r="D12" s="69">
        <f t="shared" si="0"/>
        <v>2256</v>
      </c>
      <c r="E12" s="57">
        <f t="shared" si="1"/>
        <v>293.28000000000003</v>
      </c>
    </row>
    <row r="13" spans="1:5" x14ac:dyDescent="0.3">
      <c r="A13" s="47" t="s">
        <v>23</v>
      </c>
      <c r="B13" s="50">
        <v>7080</v>
      </c>
      <c r="C13" s="54">
        <v>2</v>
      </c>
      <c r="D13" s="69">
        <f t="shared" si="0"/>
        <v>14160</v>
      </c>
      <c r="E13" s="57">
        <f t="shared" si="1"/>
        <v>1840.8</v>
      </c>
    </row>
    <row r="14" spans="1:5" x14ac:dyDescent="0.3">
      <c r="A14" s="47" t="s">
        <v>24</v>
      </c>
      <c r="B14" s="50">
        <v>6320</v>
      </c>
      <c r="C14" s="54">
        <v>0.4</v>
      </c>
      <c r="D14" s="69">
        <f t="shared" si="0"/>
        <v>2528</v>
      </c>
      <c r="E14" s="57">
        <f t="shared" si="1"/>
        <v>328.64000000000004</v>
      </c>
    </row>
    <row r="15" spans="1:5" ht="15" thickBot="1" x14ac:dyDescent="0.35">
      <c r="A15" s="48" t="s">
        <v>25</v>
      </c>
      <c r="B15" s="52">
        <v>789</v>
      </c>
      <c r="C15" s="55">
        <v>0.45</v>
      </c>
      <c r="D15" s="70">
        <f t="shared" si="0"/>
        <v>355.05</v>
      </c>
      <c r="E15" s="57">
        <f t="shared" si="1"/>
        <v>46.156500000000001</v>
      </c>
    </row>
    <row r="16" spans="1:5" ht="15" thickBot="1" x14ac:dyDescent="0.35">
      <c r="C16" s="7"/>
      <c r="D16" s="7"/>
    </row>
    <row r="17" spans="1:5" ht="15" thickBot="1" x14ac:dyDescent="0.35">
      <c r="A17" s="71" t="s">
        <v>26</v>
      </c>
      <c r="B17" s="60">
        <f>SUM(B3:B15)</f>
        <v>31208</v>
      </c>
      <c r="C17" s="61">
        <f>SUM(C3:C15)</f>
        <v>22.399999999999995</v>
      </c>
      <c r="D17" s="62">
        <f>SUM(D3:D15)</f>
        <v>34298.65</v>
      </c>
      <c r="E17" s="65">
        <f>SUM(E3:E15)</f>
        <v>4458.8245000000006</v>
      </c>
    </row>
    <row r="18" spans="1:5" ht="15" thickBot="1" x14ac:dyDescent="0.35"/>
    <row r="19" spans="1:5" ht="15" thickBot="1" x14ac:dyDescent="0.35">
      <c r="A19" s="64" t="s">
        <v>28</v>
      </c>
      <c r="B19" s="63">
        <v>0.13</v>
      </c>
    </row>
    <row r="21" spans="1:5" x14ac:dyDescent="0.3">
      <c r="A21" t="s">
        <v>30</v>
      </c>
    </row>
    <row r="22" spans="1:5" x14ac:dyDescent="0.3">
      <c r="A22" t="s">
        <v>31</v>
      </c>
    </row>
    <row r="23" spans="1:5" x14ac:dyDescent="0.3">
      <c r="A23" t="s">
        <v>32</v>
      </c>
    </row>
    <row r="24" spans="1:5" x14ac:dyDescent="0.3">
      <c r="A24" t="s">
        <v>33</v>
      </c>
    </row>
    <row r="25" spans="1:5" x14ac:dyDescent="0.3">
      <c r="A25" t="s">
        <v>34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46E2B-93E2-4DA8-BD18-AAD6F8C45692}">
  <sheetPr codeName="Hoja4"/>
  <dimension ref="A1:E15"/>
  <sheetViews>
    <sheetView workbookViewId="0">
      <selection activeCell="F5" sqref="F5"/>
    </sheetView>
  </sheetViews>
  <sheetFormatPr baseColWidth="10" defaultRowHeight="14.4" x14ac:dyDescent="0.3"/>
  <cols>
    <col min="1" max="1" width="21.33203125" customWidth="1"/>
    <col min="2" max="2" width="21.109375" customWidth="1"/>
    <col min="3" max="3" width="18" customWidth="1"/>
    <col min="4" max="4" width="20.109375" customWidth="1"/>
  </cols>
  <sheetData>
    <row r="1" spans="1:5" x14ac:dyDescent="0.3">
      <c r="A1" s="41" t="s">
        <v>36</v>
      </c>
      <c r="B1" s="8" t="s">
        <v>35</v>
      </c>
      <c r="C1" s="9" t="s">
        <v>37</v>
      </c>
      <c r="D1" s="10" t="s">
        <v>38</v>
      </c>
    </row>
    <row r="2" spans="1:5" ht="30" x14ac:dyDescent="0.45">
      <c r="A2" s="34" t="s">
        <v>69</v>
      </c>
      <c r="B2" s="35" t="s">
        <v>66</v>
      </c>
      <c r="C2" s="40" t="s">
        <v>67</v>
      </c>
      <c r="D2" s="37" t="s">
        <v>68</v>
      </c>
    </row>
    <row r="5" spans="1:5" x14ac:dyDescent="0.3">
      <c r="A5" t="s">
        <v>39</v>
      </c>
    </row>
    <row r="10" spans="1:5" ht="15" x14ac:dyDescent="0.3">
      <c r="A10" s="36"/>
    </row>
    <row r="12" spans="1:5" ht="15.6" x14ac:dyDescent="0.35">
      <c r="C12" s="38"/>
      <c r="D12" s="39"/>
      <c r="E12" s="39"/>
    </row>
    <row r="15" spans="1:5" x14ac:dyDescent="0.3">
      <c r="C15" s="38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02961-311C-4A68-9CA0-C4F8308FBB56}">
  <sheetPr codeName="Hoja5"/>
  <dimension ref="A1:E25"/>
  <sheetViews>
    <sheetView workbookViewId="0">
      <selection activeCell="E10" sqref="E10"/>
    </sheetView>
  </sheetViews>
  <sheetFormatPr baseColWidth="10" defaultRowHeight="14.4" x14ac:dyDescent="0.3"/>
  <cols>
    <col min="2" max="2" width="19.21875" customWidth="1"/>
  </cols>
  <sheetData>
    <row r="1" spans="1:5" x14ac:dyDescent="0.3">
      <c r="A1" t="s">
        <v>40</v>
      </c>
    </row>
    <row r="2" spans="1:5" ht="15" thickBot="1" x14ac:dyDescent="0.35"/>
    <row r="3" spans="1:5" ht="15" thickBot="1" x14ac:dyDescent="0.35">
      <c r="A3" s="74" t="s">
        <v>41</v>
      </c>
      <c r="B3" s="75"/>
      <c r="C3" s="75"/>
      <c r="D3" s="75"/>
      <c r="E3" s="76"/>
    </row>
    <row r="4" spans="1:5" ht="15" thickBot="1" x14ac:dyDescent="0.35">
      <c r="A4" s="77" t="s">
        <v>42</v>
      </c>
      <c r="B4" s="78"/>
      <c r="C4" s="11" t="s">
        <v>43</v>
      </c>
      <c r="D4" s="12" t="s">
        <v>44</v>
      </c>
      <c r="E4" s="13" t="s">
        <v>26</v>
      </c>
    </row>
    <row r="5" spans="1:5" x14ac:dyDescent="0.3">
      <c r="A5" s="79" t="s">
        <v>45</v>
      </c>
      <c r="B5" s="79"/>
      <c r="C5" s="15">
        <v>79</v>
      </c>
      <c r="D5" s="17">
        <v>100</v>
      </c>
      <c r="E5" s="14">
        <f>C5*D5</f>
        <v>7900</v>
      </c>
    </row>
    <row r="6" spans="1:5" x14ac:dyDescent="0.3">
      <c r="A6" s="73" t="s">
        <v>46</v>
      </c>
      <c r="B6" s="73"/>
      <c r="C6" s="16">
        <v>79</v>
      </c>
      <c r="D6" s="18">
        <v>90</v>
      </c>
      <c r="E6" s="14">
        <f t="shared" ref="E6:E25" si="0">C6*D6</f>
        <v>7110</v>
      </c>
    </row>
    <row r="7" spans="1:5" x14ac:dyDescent="0.3">
      <c r="A7" s="73" t="s">
        <v>47</v>
      </c>
      <c r="B7" s="73"/>
      <c r="C7" s="16">
        <v>65</v>
      </c>
      <c r="D7" s="18">
        <v>90</v>
      </c>
      <c r="E7" s="14">
        <f t="shared" si="0"/>
        <v>5850</v>
      </c>
    </row>
    <row r="8" spans="1:5" x14ac:dyDescent="0.3">
      <c r="A8" s="73" t="s">
        <v>48</v>
      </c>
      <c r="B8" s="73"/>
      <c r="C8" s="16">
        <v>70</v>
      </c>
      <c r="D8" s="18">
        <v>110</v>
      </c>
      <c r="E8" s="14">
        <f t="shared" si="0"/>
        <v>7700</v>
      </c>
    </row>
    <row r="9" spans="1:5" x14ac:dyDescent="0.3">
      <c r="A9" s="73" t="s">
        <v>49</v>
      </c>
      <c r="B9" s="73"/>
      <c r="C9" s="16">
        <v>65</v>
      </c>
      <c r="D9" s="18">
        <v>60</v>
      </c>
      <c r="E9" s="14">
        <f t="shared" si="0"/>
        <v>3900</v>
      </c>
    </row>
    <row r="10" spans="1:5" x14ac:dyDescent="0.3">
      <c r="A10" s="73" t="s">
        <v>50</v>
      </c>
      <c r="B10" s="73"/>
      <c r="C10" s="16">
        <v>75</v>
      </c>
      <c r="D10" s="18">
        <v>80</v>
      </c>
      <c r="E10" s="14">
        <f t="shared" si="0"/>
        <v>6000</v>
      </c>
    </row>
    <row r="11" spans="1:5" x14ac:dyDescent="0.3">
      <c r="A11" s="73" t="s">
        <v>51</v>
      </c>
      <c r="B11" s="73"/>
      <c r="C11" s="16">
        <v>70</v>
      </c>
      <c r="D11" s="18">
        <v>79</v>
      </c>
      <c r="E11" s="14">
        <f t="shared" si="0"/>
        <v>5530</v>
      </c>
    </row>
    <row r="12" spans="1:5" x14ac:dyDescent="0.3">
      <c r="A12" s="73" t="s">
        <v>52</v>
      </c>
      <c r="B12" s="73"/>
      <c r="C12" s="16">
        <v>70</v>
      </c>
      <c r="D12" s="18">
        <v>101</v>
      </c>
      <c r="E12" s="14">
        <f t="shared" si="0"/>
        <v>7070</v>
      </c>
    </row>
    <row r="13" spans="1:5" x14ac:dyDescent="0.3">
      <c r="A13" s="73" t="s">
        <v>53</v>
      </c>
      <c r="B13" s="73"/>
      <c r="C13" s="16">
        <v>60</v>
      </c>
      <c r="D13" s="18">
        <v>42</v>
      </c>
      <c r="E13" s="14">
        <f t="shared" si="0"/>
        <v>2520</v>
      </c>
    </row>
    <row r="14" spans="1:5" x14ac:dyDescent="0.3">
      <c r="A14" s="73" t="s">
        <v>54</v>
      </c>
      <c r="B14" s="73"/>
      <c r="C14" s="16">
        <v>55</v>
      </c>
      <c r="D14" s="18">
        <v>54</v>
      </c>
      <c r="E14" s="14">
        <f t="shared" si="0"/>
        <v>2970</v>
      </c>
    </row>
    <row r="15" spans="1:5" x14ac:dyDescent="0.3">
      <c r="A15" s="73" t="s">
        <v>55</v>
      </c>
      <c r="B15" s="73"/>
      <c r="C15" s="16">
        <v>45</v>
      </c>
      <c r="D15" s="18">
        <v>25</v>
      </c>
      <c r="E15" s="14">
        <f t="shared" si="0"/>
        <v>1125</v>
      </c>
    </row>
    <row r="16" spans="1:5" x14ac:dyDescent="0.3">
      <c r="A16" s="73" t="s">
        <v>56</v>
      </c>
      <c r="B16" s="73"/>
      <c r="C16" s="16">
        <v>55</v>
      </c>
      <c r="D16" s="18">
        <v>100</v>
      </c>
      <c r="E16" s="14">
        <f t="shared" si="0"/>
        <v>5500</v>
      </c>
    </row>
    <row r="17" spans="1:5" x14ac:dyDescent="0.3">
      <c r="A17" s="73" t="s">
        <v>57</v>
      </c>
      <c r="B17" s="73"/>
      <c r="C17" s="16">
        <v>69</v>
      </c>
      <c r="D17" s="18">
        <v>97</v>
      </c>
      <c r="E17" s="14">
        <f t="shared" si="0"/>
        <v>6693</v>
      </c>
    </row>
    <row r="18" spans="1:5" x14ac:dyDescent="0.3">
      <c r="A18" s="73" t="s">
        <v>58</v>
      </c>
      <c r="B18" s="73"/>
      <c r="C18" s="16">
        <v>69</v>
      </c>
      <c r="D18" s="18">
        <v>76</v>
      </c>
      <c r="E18" s="14">
        <f t="shared" si="0"/>
        <v>5244</v>
      </c>
    </row>
    <row r="19" spans="1:5" x14ac:dyDescent="0.3">
      <c r="A19" s="73" t="s">
        <v>59</v>
      </c>
      <c r="B19" s="73"/>
      <c r="C19" s="16">
        <v>45</v>
      </c>
      <c r="D19" s="18">
        <v>56</v>
      </c>
      <c r="E19" s="14">
        <f t="shared" si="0"/>
        <v>2520</v>
      </c>
    </row>
    <row r="20" spans="1:5" x14ac:dyDescent="0.3">
      <c r="A20" s="73" t="s">
        <v>60</v>
      </c>
      <c r="B20" s="73"/>
      <c r="C20" s="16">
        <v>70</v>
      </c>
      <c r="D20" s="18">
        <v>87</v>
      </c>
      <c r="E20" s="14">
        <f t="shared" si="0"/>
        <v>6090</v>
      </c>
    </row>
    <row r="21" spans="1:5" x14ac:dyDescent="0.3">
      <c r="A21" s="73" t="s">
        <v>61</v>
      </c>
      <c r="B21" s="73"/>
      <c r="C21" s="16">
        <v>73</v>
      </c>
      <c r="D21" s="18">
        <v>92</v>
      </c>
      <c r="E21" s="14">
        <f t="shared" si="0"/>
        <v>6716</v>
      </c>
    </row>
    <row r="22" spans="1:5" x14ac:dyDescent="0.3">
      <c r="A22" s="73" t="s">
        <v>62</v>
      </c>
      <c r="B22" s="73"/>
      <c r="C22" s="16">
        <v>80</v>
      </c>
      <c r="D22" s="18">
        <v>120</v>
      </c>
      <c r="E22" s="14">
        <f t="shared" si="0"/>
        <v>9600</v>
      </c>
    </row>
    <row r="23" spans="1:5" x14ac:dyDescent="0.3">
      <c r="A23" s="73" t="s">
        <v>63</v>
      </c>
      <c r="B23" s="73"/>
      <c r="C23" s="16">
        <v>79</v>
      </c>
      <c r="D23" s="18">
        <v>95</v>
      </c>
      <c r="E23" s="14">
        <f t="shared" si="0"/>
        <v>7505</v>
      </c>
    </row>
    <row r="24" spans="1:5" x14ac:dyDescent="0.3">
      <c r="A24" s="73" t="s">
        <v>64</v>
      </c>
      <c r="B24" s="73"/>
      <c r="C24" s="16">
        <v>75</v>
      </c>
      <c r="D24" s="18">
        <v>95</v>
      </c>
      <c r="E24" s="14">
        <f t="shared" si="0"/>
        <v>7125</v>
      </c>
    </row>
    <row r="25" spans="1:5" x14ac:dyDescent="0.3">
      <c r="A25" s="73" t="s">
        <v>65</v>
      </c>
      <c r="B25" s="73"/>
      <c r="C25" s="16">
        <v>50</v>
      </c>
      <c r="D25" s="18">
        <v>74</v>
      </c>
      <c r="E25" s="14">
        <f t="shared" si="0"/>
        <v>3700</v>
      </c>
    </row>
  </sheetData>
  <mergeCells count="23">
    <mergeCell ref="A21:B21"/>
    <mergeCell ref="A22:B22"/>
    <mergeCell ref="A23:B23"/>
    <mergeCell ref="A24:B24"/>
    <mergeCell ref="A25:B25"/>
    <mergeCell ref="A20:B20"/>
    <mergeCell ref="A9:B9"/>
    <mergeCell ref="A10:B10"/>
    <mergeCell ref="A11:B11"/>
    <mergeCell ref="A12:B12"/>
    <mergeCell ref="A13:B13"/>
    <mergeCell ref="A14:B14"/>
    <mergeCell ref="A15:B15"/>
    <mergeCell ref="A16:B16"/>
    <mergeCell ref="A17:B17"/>
    <mergeCell ref="A18:B18"/>
    <mergeCell ref="A19:B19"/>
    <mergeCell ref="A8:B8"/>
    <mergeCell ref="A3:E3"/>
    <mergeCell ref="A4:B4"/>
    <mergeCell ref="A5:B5"/>
    <mergeCell ref="A6:B6"/>
    <mergeCell ref="A7:B7"/>
  </mergeCells>
  <conditionalFormatting sqref="E5:E25">
    <cfRule type="cellIs" dxfId="25" priority="26" operator="greaterThan">
      <formula>3500</formula>
    </cfRule>
    <cfRule type="cellIs" dxfId="24" priority="25" operator="lessThan">
      <formula>3500</formula>
    </cfRule>
  </conditionalFormatting>
  <conditionalFormatting sqref="E6">
    <cfRule type="cellIs" dxfId="23" priority="24" operator="greaterThan">
      <formula>3500</formula>
    </cfRule>
    <cfRule type="cellIs" dxfId="22" priority="23" operator="lessThan">
      <formula>3500</formula>
    </cfRule>
    <cfRule type="cellIs" dxfId="21" priority="22" operator="greaterThan">
      <formula>3500</formula>
    </cfRule>
    <cfRule type="cellIs" dxfId="20" priority="21" operator="lessThan">
      <formula>3500</formula>
    </cfRule>
    <cfRule type="cellIs" dxfId="19" priority="20" operator="greaterThan">
      <formula>3500</formula>
    </cfRule>
    <cfRule type="cellIs" dxfId="18" priority="19" operator="lessThan">
      <formula>3500</formula>
    </cfRule>
    <cfRule type="cellIs" dxfId="17" priority="18" operator="greaterThan">
      <formula>3500</formula>
    </cfRule>
    <cfRule type="cellIs" dxfId="16" priority="17" operator="lessThan">
      <formula>3500</formula>
    </cfRule>
    <cfRule type="cellIs" dxfId="15" priority="16" operator="greaterThan">
      <formula>3500</formula>
    </cfRule>
    <cfRule type="cellIs" dxfId="14" priority="15" operator="lessThan">
      <formula>3500</formula>
    </cfRule>
    <cfRule type="cellIs" dxfId="13" priority="14" operator="greaterThan">
      <formula>3500</formula>
    </cfRule>
    <cfRule type="cellIs" dxfId="12" priority="13" operator="lessThan">
      <formula>3500</formula>
    </cfRule>
    <cfRule type="cellIs" dxfId="11" priority="12" operator="greaterThan">
      <formula>3500</formula>
    </cfRule>
    <cfRule type="cellIs" dxfId="10" priority="11" operator="lessThan">
      <formula>3500</formula>
    </cfRule>
    <cfRule type="cellIs" dxfId="9" priority="10" operator="greaterThan">
      <formula>3500</formula>
    </cfRule>
    <cfRule type="cellIs" dxfId="8" priority="9" operator="lessThan">
      <formula>3500</formula>
    </cfRule>
    <cfRule type="cellIs" dxfId="7" priority="8" operator="greaterThan">
      <formula>3500</formula>
    </cfRule>
    <cfRule type="cellIs" dxfId="6" priority="7" operator="lessThan">
      <formula>3500</formula>
    </cfRule>
    <cfRule type="cellIs" dxfId="5" priority="6" operator="greaterThan">
      <formula>3500</formula>
    </cfRule>
    <cfRule type="cellIs" dxfId="4" priority="5" operator="lessThan">
      <formula>3500</formula>
    </cfRule>
    <cfRule type="cellIs" dxfId="3" priority="4" operator="greaterThan">
      <formula>3500</formula>
    </cfRule>
    <cfRule type="cellIs" dxfId="2" priority="3" operator="lessThan">
      <formula>3500</formula>
    </cfRule>
    <cfRule type="cellIs" dxfId="1" priority="2" operator="greaterThan">
      <formula>3500</formula>
    </cfRule>
    <cfRule type="cellIs" dxfId="0" priority="1" operator="lessThan">
      <formula>3500</formula>
    </cfRule>
  </conditionalFormatting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E1</vt:lpstr>
      <vt:lpstr>E2</vt:lpstr>
      <vt:lpstr>E3</vt:lpstr>
      <vt:lpstr>E4</vt:lpstr>
      <vt:lpstr>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alex1dique</dc:creator>
  <cp:keywords>Parcial2</cp:keywords>
  <cp:lastModifiedBy>Erick</cp:lastModifiedBy>
  <dcterms:created xsi:type="dcterms:W3CDTF">2022-09-28T06:37:15Z</dcterms:created>
  <dcterms:modified xsi:type="dcterms:W3CDTF">2022-09-30T03:03:32Z</dcterms:modified>
</cp:coreProperties>
</file>